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mc:AlternateContent xmlns:mc="http://schemas.openxmlformats.org/markup-compatibility/2006">
    <mc:Choice Requires="x15">
      <x15ac:absPath xmlns:x15ac="http://schemas.microsoft.com/office/spreadsheetml/2010/11/ac" url="/Users/guo/Documents/SQL比较/SQLdiff/"/>
    </mc:Choice>
  </mc:AlternateContent>
  <xr:revisionPtr revIDLastSave="0" documentId="13_ncr:1_{80C686F2-4216-2C41-971E-3ABBD03FCF04}" xr6:coauthVersionLast="47" xr6:coauthVersionMax="47" xr10:uidLastSave="{00000000-0000-0000-0000-000000000000}"/>
  <bookViews>
    <workbookView xWindow="0" yWindow="0" windowWidth="28160" windowHeight="17620" xr2:uid="{00000000-000D-0000-FFFF-FFFF00000000}"/>
  </bookViews>
  <sheets>
    <sheet name="history"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1" i="2" l="1"/>
  <c r="N290" i="2"/>
  <c r="N289" i="2"/>
  <c r="N288" i="2"/>
  <c r="N287" i="2"/>
  <c r="N286" i="2"/>
  <c r="N285" i="2"/>
  <c r="N284" i="2"/>
  <c r="N283" i="2"/>
  <c r="N282" i="2"/>
  <c r="N281" i="2"/>
  <c r="N280" i="2"/>
  <c r="N279" i="2"/>
  <c r="N278" i="2"/>
  <c r="N277" i="2"/>
  <c r="N276" i="2"/>
  <c r="N275" i="2"/>
  <c r="N274" i="2"/>
  <c r="N273" i="2"/>
  <c r="N272" i="2"/>
  <c r="N271"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L1" authorId="0" shapeId="0" xr:uid="{00000000-0006-0000-0000-000001000000}">
      <text>
        <r>
          <rPr>
            <b/>
            <sz val="9"/>
            <rFont val="宋体"/>
            <family val="3"/>
            <charset val="134"/>
          </rPr>
          <t>陶其萍-891796:</t>
        </r>
        <r>
          <rPr>
            <sz val="9"/>
            <rFont val="宋体"/>
            <family val="3"/>
            <charset val="134"/>
          </rPr>
          <t xml:space="preserve">
简单类尽快修复，调用频次很高执行时间很长的需要尽快修复。列修复计划</t>
        </r>
      </text>
    </comment>
  </commentList>
</comments>
</file>

<file path=xl/sharedStrings.xml><?xml version="1.0" encoding="utf-8"?>
<sst xmlns="http://schemas.openxmlformats.org/spreadsheetml/2006/main" count="2233" uniqueCount="686">
  <si>
    <t>序号</t>
  </si>
  <si>
    <t>来源</t>
  </si>
  <si>
    <t>指纹</t>
  </si>
  <si>
    <t>sqlID</t>
  </si>
  <si>
    <t>SQL语句</t>
  </si>
  <si>
    <t>平均响应时间(ms)</t>
  </si>
  <si>
    <t>执行次数</t>
  </si>
  <si>
    <t>服务</t>
  </si>
  <si>
    <t>大表且暂不优化</t>
  </si>
  <si>
    <t>大表表名</t>
  </si>
  <si>
    <t>慢SQL分类</t>
  </si>
  <si>
    <t>初步优化方案</t>
  </si>
  <si>
    <t>应用场景</t>
  </si>
  <si>
    <t>加权分数</t>
  </si>
  <si>
    <t>优先级</t>
  </si>
  <si>
    <t>修复时间</t>
  </si>
  <si>
    <t>跟进情况</t>
  </si>
  <si>
    <t>备注</t>
  </si>
  <si>
    <t>全链路监控</t>
  </si>
  <si>
    <t>84e6d7936b542d98cd489e86198e56ec</t>
  </si>
  <si>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</si>
  <si>
    <t>settlement-cronjob</t>
  </si>
  <si>
    <t>否</t>
  </si>
  <si>
    <t>instruction</t>
  </si>
  <si>
    <t>索引失效</t>
  </si>
  <si>
    <t>去除查询条件中trunc(i.payment_at)中trunc，确保索引生效</t>
  </si>
  <si>
    <t>定时通知券商与管理人</t>
  </si>
  <si>
    <t>高</t>
  </si>
  <si>
    <t>8e54f7b2d7fb746960b27fbbadfd5001</t>
  </si>
  <si>
    <t>select count(*) from fax_instruction_image where 1=1 and FAX_ID like '%'||?||'%' and FILE_TYPE like '%'||?||'%'</t>
  </si>
  <si>
    <t>tgqs</t>
  </si>
  <si>
    <t>缺少索引，过滤条件设置不合理</t>
  </si>
  <si>
    <t>1.表fax_instruction_image添加索引字段：FAX_ID
2.FAX_ID改为精确匹配</t>
  </si>
  <si>
    <t>7015-传真OCR交易信息推送</t>
  </si>
  <si>
    <t>已修复</t>
  </si>
  <si>
    <t>cc9afc756d982ad332cc0047ca073a51</t>
  </si>
  <si>
    <t>UPDATE rtgs_qsjsjg rqs SET rqs.sfktk = '1' WHERE rqs.sfktk IS NULL</t>
  </si>
  <si>
    <t>过滤条件设置不合理</t>
  </si>
  <si>
    <t>添加交收日期作为过滤条件，限制查询范围且该字段已建立索引</t>
  </si>
  <si>
    <t>097cbf302997aeac534c08cfa95e100b</t>
  </si>
  <si>
    <t>SELECT FILE_PATH,FILE_TYPE,FILE_NAME,hyperlink FROM FAX_INSTRUCTION_IMAGE WHERE FAX_ID like '%' || ? || '%'</t>
  </si>
  <si>
    <t>7013-渠道推送指令信息</t>
  </si>
  <si>
    <t>f25837d43c5254782bed4918fa2072d5</t>
  </si>
  <si>
    <t>select r.* from rtgs_qsjsjg r where r.ywlsh = ? and r.market = ? and (r.jszh is null or r.jszh = ? ) for update</t>
  </si>
  <si>
    <t>b4b344ce004d4035ad8dcf644c87891e</t>
  </si>
  <si>
    <t>select TRADE_ID from SHCH_INSTRUCTION_ORIGIN where 1=1 and trade_date = ? and TRADE_STATUS in ('Y','X')</t>
  </si>
  <si>
    <t>缺少索引</t>
  </si>
  <si>
    <t>表SHCH_INSTRUCTION_ORIGIN添加索引字段：trade_date</t>
  </si>
  <si>
    <t>49735d283b82a5d1312c383f5eda41e8</t>
  </si>
  <si>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</si>
  <si>
    <t>settlement-web</t>
  </si>
  <si>
    <t>查询条件中场内账户字段CSDS_ACCOUNT_ID改为精确匹配</t>
  </si>
  <si>
    <t>5eb476f3fc62d652564b56d6c507ac3d</t>
  </si>
  <si>
    <t>select fi.instruction_id,fii.file_path imagepath from FAX_INSTRUCTION_IMAGE fii left join fax_instruction fi on fi.fax_id = fii.fax_id and (fii.file_type !='1' or fii.file_type is null) where fi.instruction_id = ?</t>
  </si>
  <si>
    <t>fax_instruction，fax_instruction_image</t>
  </si>
  <si>
    <t>表fax_instruction_image添加索引字段：FAX_ID</t>
  </si>
  <si>
    <t>5213e5b482dce6642c3ed72d909c11de</t>
  </si>
  <si>
    <t>DELETE FROM OUTBOUND_MESSAGE T WHERE T.QQSJ BETWEEN to_date('2026/04/07','yyyy/MM/dd') and to_date('2026/04/30','yyyy/MM/dd') and rownum &lt;=100000</t>
  </si>
  <si>
    <t>减小日期范围，调整为每次清理一天的历史数据</t>
  </si>
  <si>
    <t>中</t>
  </si>
  <si>
    <t>490bc5c83f00dd09f8984f6f43dfb549</t>
  </si>
  <si>
    <t>select r.* from rtgs_qsjsjg r where r.ywlsh = ? and r.market = ?</t>
  </si>
  <si>
    <t>0518ae7666461896543f91182b5e5e2d</t>
  </si>
  <si>
    <t>SELECT COUNT(1) FROM (SELECT I.*, TRUNC(NVL(I.PAYMENT_AT, I.PAYMENT_DATE)) AS idx1, decode(I.DIRECTION, '0', I.CREDIT_ACCOUNT, '1', I.DEBIT_ACCOUNT) AS idx2 FROM INSTRUCTION I WHERE I.PAYMENT_STATUS != '3' AND ((I.SOURCE_ID = '6' AND I.ACTION_STATUS = '0') OR I.ACTION_STATUS IN ('7', '9', '10', '11', '12', '13', '14', '15', '16')) AND (I.FINAL_PAYMENTSTATUS IS NULL OR I.FINAL_PAYMENTSTATUS != '7')) I WHERE I.idx1 = TO_DATE(?, 'YYYYMMDD') AND I.idx2 = ?</t>
  </si>
  <si>
    <t>查询条件直接判断支付日期PAYMENT_AT字段，无需考虑为空场景</t>
  </si>
  <si>
    <t>ceb9bca6793c2571685101f66a37101c</t>
  </si>
  <si>
    <t>重复</t>
  </si>
  <si>
    <t>6d98224f78bfbcbd779604516609e40e</t>
  </si>
  <si>
    <t>237920705e5773041a93ef63b3730f32</t>
  </si>
  <si>
    <t>SELECT RT.ZJ, RT.PRODUCT_ID, RT.MARKET, RT.ZJZH, RT.YWLSH, RT.JSZT FROM RTGS_QSJSJG RT WHERE RT.YWLSH = ? AND RT.zjzh = ? AND RT.ZQZH = ? for update</t>
  </si>
  <si>
    <t>8ca77d958725ed33499b09687cf439da</t>
  </si>
  <si>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</si>
  <si>
    <t>表CSDS_DAYEND_DETAIL添加索引字段：DAYEND_DATE</t>
  </si>
  <si>
    <t>未修复</t>
  </si>
  <si>
    <t>时间仍超长68s</t>
  </si>
  <si>
    <t>a99a710bc6cdaf20488fe7f6d2c99f5e</t>
  </si>
  <si>
    <t>INSERT INTO TRADE_CONTROL ( CONTROL_ID, TRADE_TYPE, STATUS, BEGIN_TIME, END_TIME, REMARK, HANDLE_DATE, OPERATOR ) SELECT ? AS CONTROL_ID, ? AS TRADE_TYPE, ? AS STATUS, ? AS BEGIN_TIME, ? AS END_TIME, ? AS REMARK, ? AS HANDLE_DATE, ? AS OPERATOR FROM DUAL WHERE 1 = 1 AND NOT EXISTS (SELECT 1 FROM TRADE_CONTROL WHERE STATUS = 1 AND HANDLE_DATE = ? AND TRADE_CONTROL.TRADE_TYPE IN ( ? ) )</t>
  </si>
  <si>
    <t>1.考虑清理trade_control历史数据，只保留最近15天数据即可；
2.表TRADE_CONTROL添加索引字段：HANDLE_DATE；</t>
  </si>
  <si>
    <t>e39578ce4eeef523c0908987f8515be5</t>
  </si>
  <si>
    <t>5850890c9d91638fd75f479768a48063</t>
  </si>
  <si>
    <t>select t.product_id, p.product_code as product_code, t.SOURCE_PAY_DATE as created_at, sum(t.rem_fee) as rem_fee, t.pay_freq, '0' as generate_status, '0' as payment_status from REMFEE_INFO t inner join product p on t.product_id = p.product_id where t.generate_status = '0' and t.payment_status = '0' and SOURCE_PAY_DATE &gt;= to_date(?,'yyyy-mm-dd') and SOURCE_PAY_DATE &lt;= to_date(?,'yyyy-mm-dd') +1-1/86400 group by t.product_id,t.pay_freq,t.source_pay_date,p.product_code</t>
  </si>
  <si>
    <t>settlement-tran</t>
  </si>
  <si>
    <t>表REMFEE_INFO添加索引字段：SOURCE_PAY_DATE</t>
  </si>
  <si>
    <t>a8c596742e1a827bed9b840ef30c7aab</t>
  </si>
  <si>
    <t>select * from ( select row_.*, rownum as rownum_ from ( select f.fax_id, f.product_code, f.product_name, f.push_at, f.result_status, f.qd_trans_id, f.file_Name from ( SELECT f.fax_id, p.product_code, p.product_name, f.push_at, f.result_status, f.qd_trans_id, (select to_char(substr((XML_UNESCAPE_CLOB(xmlagg(xmlparse(content ESCAPE_XML(fii.file_name)||',')))),1,1300)) from FAX_INSTRUCTION_IMAGE fii where fii.fax_id=f.fax_id) file_Name FROM fax_instruction f, product p WHERE f.result_type = '1' and f.result_status not in ('3', '5') and (f.qd_trans_id is null or f.qd_trans_id = '') AND trunc(f.created_at) = trunc(cast(? as timestamp)) AND p.product_name LIKE '%'||?||'%' AND f.product_code = p.product_code AND ( p.OPERATION_STATUS in ('0','2') or p.effectstatus = '0' or p.product_id IN ( SELECT pib.product_id FROM PRODUCT_INFO_BRANCH PIB WHERE PIB.ROLEID = ? AND PIB.USERID = ? )) union SELECT f.fax_id, p.product_code, p.product_name, f.push_at, f.result_status, f.qd_trans_id, (select to_char(substr((XML_UNESCAPE_CLOB(xmlagg(xmlparse(content ESCAPE_XML(fii.file_name)||',')))),1,1300)) from FAX_INSTRUCTION_IMAGE fii where fii.fax_id=f.fax_id) file_Name FROM fax_instruction f, product p ,trans_info ti WHERE p.effectstatus = '1' AND f.result_type = '1' and f.result_status not in ('3', '5') and f.qd_trans_id is not null AND trunc(f.created_at) = trunc(cast(? as timestamp)) AND p.product_name LIKE '%'||?||'%' AND f.product_code = p.product_code AND f.qd_trans_id = ti.pk_id and ti.source = '4' and ti.trade_direction = 'RSSQ' and ti.instruction_id is null AND p.product_id IN ( SELECT pib.product_id FROM PRODUCT_INFO_BRANCH PIB WHERE PIB.ROLEID = ? AND PIB.USERID = ? ))f order by f.result_status asc ) row_ ) where rownum_ &gt; 0 and rownum_ &lt;= 20</t>
  </si>
  <si>
    <t>e17ab943fc53778f0df5f62e2566f5f9</t>
  </si>
  <si>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</si>
  <si>
    <t>批次插入过多</t>
  </si>
  <si>
    <t>调整单次批量新增的数量，从2000条调整为1000条</t>
  </si>
  <si>
    <t>2f94b351af4828160d70d2c24e9bfe0b</t>
  </si>
  <si>
    <t>select * from ( select row_.*, rownum as rownum_ from ( select f.fax_id, f.product_code, f.product_name, f.push_at, f.result_status, f.qd_trans_id, f.file_Name from ( SELECT f.fax_id, p.product_code, p.product_name, f.push_at, f.result_status, f.qd_trans_id, (select to_char(substr((XML_UNESCAPE_CLOB(xmlagg(xmlparse(content ESCAPE_XML(fii.file_name)||',')))),1,1300)) from FAX_INSTRUCTION_IMAGE fii where fii.fax_id=f.fax_id) file_Name FROM fax_instruction f, product p WHERE f.result_type = '1' and f.result_status not in ('3', '5') and (f.qd_trans_id is null or f.qd_trans_id = '') AND trunc(f.created_at) = trunc(cast(? as timestamp)) AND f.product_code = p.product_code AND ( p.OPERATION_STATUS in ('0','2') or p.effectstatus = '0' or p.product_id IN ( SELECT pib.product_id FROM PRODUCT_INFO_BRANCH PIB WHERE PIB.ROLEID = ? AND PIB.USERID = ? )) union SELECT f.fax_id, p.product_code, p.product_name, f.push_at, f.result_status, f.qd_trans_id, (select to_char(substr((XML_UNESCAPE_CLOB(xmlagg(xmlparse(content ESCAPE_XML(fii.file_name)||',')))),1,1300)) from FAX_INSTRUCTION_IMAGE fii where fii.fax_id=f.fax_id) file_Name FROM fax_instruction f, product p ,trans_info ti WHERE p.effectstatus = '1' AND f.result_type = '1' and f.result_status not in ('3', '5') and f.qd_trans_id is not null AND trunc(f.created_at) = trunc(cast(? as timestamp)) AND f.product_code = p.product_code AND f.qd_trans_id = ti.pk_id and ti.source = '4' and ti.trade_direction = 'RSSQ' and ti.instruction_id is null AND p.product_id IN ( SELECT pib.product_id FROM PRODUCT_INFO_BRANCH PIB WHERE PIB.ROLEID = ? AND PIB.USERID = ? ))f order by f.result_status asc ) row_ ) where rownum_ &gt; 0 and rownum_ &lt;= 20</t>
  </si>
  <si>
    <t>a5922f1b0934e992f1ce85a90a9942b9</t>
  </si>
  <si>
    <t>select count(1) from CSBS_INSTRUCTION CI left join bank_account ba on ci.BANK_ACCOUNT_ID = ba.bank_account_id where 1=1 and INSTR_ID like '%'||?||'%' and not exists( select 1 from csbs_instr_config where (account_no=account_id or account_no=counter_account_id) and market=market_type)</t>
  </si>
  <si>
    <t>instr_id能否改为精确匹配，待确认</t>
  </si>
  <si>
    <t>b8caebde1359c5ce78d5b7ce61c158f8</t>
  </si>
  <si>
    <t>UPDATE TRADE_CONTROL SET trade_type = ?, STATUS = ?, BEGIN_TIME = ?, END_TIME = ?, REMARK = ?, HANDLE_DATE = ?, OPERATOR = ? WHERE CONTROL_ID = ? AND TRADE_TYPE = ? AND STATUS IN (0, 2, 3) AND NOT EXISTS (SELECT 1 FROM TRADE_CONTROL WHERE STATUS = 1 AND HANDLE_DATE = ? AND TRADE_CONTROL.TRADE_TYPE IN ( ? ) )</t>
  </si>
  <si>
    <t>表TRADE_CONTROL添加索引：HANDLE_DATE</t>
  </si>
  <si>
    <t>2b9236c348e2ea239c585d8062d8b7f6</t>
  </si>
  <si>
    <t>SELECT COUNT(1) FROM INSTRUCTION I WHERE I.PAYMENT_STATUS != '3' AND I.ACTION_STATUS IN ('15', '19', '20', '21') AND TRUNC(NVL(I.PAYMENT_AT, I.PAYMENT_DATE)) = TO_DATE(?, 'YYYYMMDD') AND (I.FINAL_PAYMENTSTATUS IS NULL OR I.FINAL_PAYMENTSTATUS != '7') AND I.TRADE_TYPE = '0'</t>
  </si>
  <si>
    <t>将TRUNC(NVL(I.PAYMENT_AT, I.PAYMENT_DATE)调整为直接判断支付日期I.PAYMENT_AT，无需考虑为空场景</t>
  </si>
  <si>
    <t>7ca7d7a64f008b1ede8594aa9d981f43</t>
  </si>
  <si>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</si>
  <si>
    <t>该sql可考虑取消使用</t>
  </si>
  <si>
    <t>a6d94156af8254eaa05cc66f9ac6fc7f</t>
  </si>
  <si>
    <t>select * from ( select row_.*, rownum as rownum_ from ( select f.fax_id, f.product_code, f.product_name, f.push_at, f.result_status, f.qd_trans_id, f.file_Name from ( SELECT f.fax_id, p.product_code, p.product_name, f.push_at, f.result_status, f.qd_trans_id, (select to_char(substr((XML_UNESCAPE_CLOB(xmlagg(xmlparse(content ESCAPE_XML(fii.file_name)||',')))),1,1300)) from FAX_INSTRUCTION_IMAGE fii where fii.fax_id=f.fax_id) file_Name FROM fax_instruction f, product p WHERE f.result_type = '1' and f.result_status not in ('3', '5') and (f.qd_trans_id is null or f.qd_trans_id = '') AND trunc(f.created_at) = trunc(cast(? as timestamp)) AND p.product_name LIKE '%'||?||'%' AND f.product_code = p.product_code AND ( p.OPERATION_STATUS in ('0','2') or p.effectstatus = '0' or p.product_id IN ( SELECT pib.product_id FROM PRODUCT_INFO_BRANCH PIB WHERE PIB.ROLEID = ? AND PIB.USERID = ? )) union SELECT f.fax_id, p.product_code, p.product_name, f.push_at, f.result_status, f.qd_trans_id, (select to_char(substr((XML_UNESCAPE_CLOB(xmlagg(xmlparse(content ESCAPE_XML(fii.file_name)||',')))),1,1300)) from FAX_INSTRUCTION_IMAGE fii where fii.fax_id=f.fax_id) file_Name FROM fax_instruction f, product p ,trans_info ti WHERE p.effectstatus = '1' AND f.result_type = '1' and f.result_status not in ('3', '5') and f.qd_trans_id is not null AND trunc(f.created_at) = trunc(cast(? as timestamp)) AND p.product_name LIKE '%'||?||'%' AND f.product_code = p.product_code AND f.qd_trans_id = ti.pk_id and ti.source = '4' and ti.trade_direction = 'RSSQ' and ti.instruction_id is null AND p.product_id IN ( SELECT pib.product_id FROM PRODUCT_INFO_BRANCH PIB WHERE PIB.ROLEID = ? AND PIB.USERID = ? ))f order by f.result_status asc ) row_ ) where rownum_ &gt; 0 and rownum_ &lt;= 100</t>
  </si>
  <si>
    <t>8630c69cf906c7ffe3873ac7ce072779</t>
  </si>
  <si>
    <t>select * from ( select row_.*, rownum as rownum_ from ( select DISTINCT a.AUTH_TRANSFER_ID,a.AUTHOPERA_TYPE,a.PROVIDER_ID,a.TRANSFER_RANGE,a.RECEIVER_ID,a.EFFECTSTATUS, a.OP_TYPE,a.FOUREYESSTATUS,a.AUDIT_COMMENT,a.CREATED_AT,a.CREATED_BY,a.UPDATED_AT,a.UPDATED_BY,a.VALIDATED_AT,a.VALIDATED_BY, is_va.yhmc as VALIDATED_BY_NAME, is_cr.yhmc as CREATED_BY_NAME, is_up.yhmc as UPDATED_BY_NAME, atp.AUTH_TRANSFER_STATUS as AUTH_TRANSFER_STATUS, atp.START_DATE as startDate, atp.START_TIME as startTime, atp.END_DATE as endDate, atp.END_TIME as endTime from AUTH_TRANSFER a, ip_staff_stmt is_va, ip_staff_stmt is_cr, ip_staff_stmt is_up, AUTH_TRANSFER_PRODUCT atp where 1=1 and a.created_by = is_cr.yhbh(+) and a.updated_by = is_up.yhbh(+) and a.validated_by = is_va.yhbh(+) and a.AUTH_TRANSFER_ID=atp.AUTH_TRANSFER_ID AND a.PROVIDER_ID in ( ? ) order by a.CREATED_AT desc ) row_ ) where rownum_ &gt; 0 and rownum_ &lt;= 10</t>
  </si>
  <si>
    <t>AUTH_TRANSFER_PRODUCT</t>
  </si>
  <si>
    <t>表AUTH_TRANSFER_PRODUCT添加索引字段：AUTH_TRANSFER_ID</t>
  </si>
  <si>
    <t>72da5f295d733dcc45a23679c6dce1c0</t>
  </si>
  <si>
    <t>delete from jsmx where datadate between '20250907' and '20251104' and rownum &lt;= 10000</t>
  </si>
  <si>
    <t>c6590d1cbf63cd4042e735e326157687</t>
  </si>
  <si>
    <t>SELECT I.INSTRUCTION_ID FROM YSS_INSTRUCTION_TEMP I WHERE I.PRODUCT_CODE IS NULL AND I.PAYMENT_TYPE_ID NOT IN ( ? , ? , ? , ? , ? , ? , ? , ? , ? , ? , ? , ? , ? , ? , ? , ? , ? , ? , ? , ? , ? , ? , ? , ? , ? , ? , ? )</t>
  </si>
  <si>
    <t>添加数据日期DATA_DATE查询条件，该字段为索引字段</t>
  </si>
  <si>
    <t>7b22c06cef58b14456f7685a850525db</t>
  </si>
  <si>
    <t>c87dfb52ded6e3a928c225a4a8b24598</t>
  </si>
  <si>
    <t>select max(deliver_date2) from csbs_instruction where market_type = '0'</t>
  </si>
  <si>
    <t>添加到期日期大于等于今日的查询条件</t>
  </si>
  <si>
    <t>90b9cb37d73160a8c51fa070d6ad4045</t>
  </si>
  <si>
    <t>2f61f9a29a56f2cca32ba809fd773ed9</t>
  </si>
  <si>
    <t>4f45b2b92c4faf7dc777a129c1dd47c4</t>
  </si>
  <si>
    <t>select count(*) from TRANS_INFO ti where ti.FAX_ID = ?</t>
  </si>
  <si>
    <t>执行时间为2.5S</t>
  </si>
  <si>
    <t>203143a992ff53f5af568cabea8bccdc</t>
  </si>
  <si>
    <t>delete from CSBS_SUMMARY_STATEMENT where CREATE_DATE = ?</t>
  </si>
  <si>
    <t>表CSBS_SUMMARY_STATEMENT添加索引字段：CREATE_DATE</t>
  </si>
  <si>
    <t>74d3715cf4b2bfe25bbbaad31ba5087b</t>
  </si>
  <si>
    <t>select * from ( select row_.*, rownum as rownum_ from ( SELECT CDD.DETAIL_ID detailId, CDD.DAYEND_DATE dayendDate, CDD.DATA_SOURCE dataSource, CDD.INSTRUCTION_SOURCE instructionSource, CDD.INSTRUCTION_ID instructionId, CDD.PAYMENT_DATE paymentDate, CDD.PAYMENT_TYPE_ID paymentTypeId, (SELECT PAYMENT_TYPE_NAME FROM PAYMENT_TYPE PT WHERE PT.PAYMENT_TYPE_ID = CDD.payment_Type_Id) paymentTypeName, CDD.PRODUCT_ID productId, (SELECT PRODUCT_NAME FROM PRODUCT P WHERE P.PRODUCT_ID = CDD.product_Id ) productName, CDD.DIRECTION direction, CDD.AMOUNT amount, CDD.CREDIT_ACCOUNT creditAccount, CDD.DEBIT_ACCOUNT debitAccount, CDD.CHECK_RESULT checkResult, CDD.REMARK remark, CDD.CLEAR_TYPE clearType FROM CSDS_DAYEND_DETAIL CDD WHERE 1=1 AND DAYEND_DATE = ? AND DATA_SOURCE = ? AND (CLEAR_TYPE = '1' or CLEAR_TYPE is null) ORDER BY CHECK_RESULT ASC,PRODUCT_ID,AMOUNT DESC,INSTRUCTION_ID ) row_ ) where rownum_ &gt; 0 and rownum_ &lt;= 10</t>
  </si>
  <si>
    <t>5285b82ef4b796e04ed00496340c1b7e</t>
  </si>
  <si>
    <t>DELETE FROM TASK_LOG T WHERE T.DTIME BETWEEN to_date('2025/12/24','yyyy/MM/dd') and to_date('2026/02/04','yyyy/MM/dd') and rownum &lt;=100000</t>
  </si>
  <si>
    <t>0e383e35e2af20f6961bacae65fdb86a</t>
  </si>
  <si>
    <t>select trim(a.zqzh) as gddm, sum(a.sl) as sl, sum(a.sjsf) as je, 'jsmx' as sj_tname from jsmx a where a.datadate = ? and a.jsfs = '002' and a.jllx = '003' and ((a.jyfs = '106' and ((a.ywlx = '605') or (a.qsbz = '02C' and a.ywlx in ('619', '615')) or (a.qsbz = '22C' and a.ywlx in ('613', '614', '617')) or (a.ywlx = '672' and a.ghlx in ('101','00C')) or (a.ywlx in ('673','674','675') and a.qsbz in ('0A1','0A2','0A3','0A4') and a.ghlx = '101') or (a.ywlx in ('673','674','675') and a.ghlx = '00D') or (a.ywlx = '676' and a.qsbz in ('0A5','0A6') and a.ghlx = '101') or (a.ywlx in ('676','677','678') and a.ghlx in ('00C','00D')))) or (a.jyfs = '104' and ((a.ywlx = '124') or (a.qsbz = '991' and a.ywlx = '632') or (a.qsbz = '992' and a.ywlx = '633') or (a.qsbz = '993' and a.ywlx = '637') or (a.qsbz = '276' and a.ywlx = '123') or (a.qsbz = '010' and a.ywlx = '655' and a.ghlx = '00A'))) or (a.jyfs = '001' and a.qsbz = '580' and a.ywlx = '109')) and a.zjzh = ? group by a.zqzh, a.datadate</t>
  </si>
  <si>
    <t>1.表jsmx添加索引字段：zqzh
2.调整group by a.zqzh, a.datadate字段顺序</t>
  </si>
  <si>
    <t>低</t>
  </si>
  <si>
    <t>d59db128b814f40d37e26eea8ede5ccd</t>
  </si>
  <si>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</si>
  <si>
    <t>d904492708fd5f936bd5afc769697cf4</t>
  </si>
  <si>
    <t>DELETE FROM CSDS_DAYEND_DETAIL WHERE DAYEND_DATE = trunc(cast(? as timestamp)) AND CLEAR_TYPE = ?</t>
  </si>
  <si>
    <t>f61d798d7f1c5daf9ed187a4141b1c76</t>
  </si>
  <si>
    <t>select count(1) from instruction i where i.product_id = ? and trunc(i.payment_date) = trunc(sysdate) and i.payment_type_id = 'TZZD01' and i.direction = '1' and i.credit_account = '216200143300010514' and i.amount = to_number(?)</t>
  </si>
  <si>
    <t>可考虑将trunc(i.payment_date)中trunc去除，确保索引生效</t>
  </si>
  <si>
    <t>da54b6632a2e452f39ebcd687a8a4fe3</t>
  </si>
  <si>
    <t>49b44d33ad3efb63476d4ebfe92cc06a</t>
  </si>
  <si>
    <t>SELECT FILE_PATH,FILE_TYPE,FILE_NAME,hyperlink FROM FAX_INSTRUCTION_IMAGE WHERE FAX_ID in ( ? )</t>
  </si>
  <si>
    <t>b6f977ae25a49e3cda35bacc5ee9366c</t>
  </si>
  <si>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</si>
  <si>
    <t>查询条件中指令编号INSTRUCTION_ID字段精确匹配</t>
  </si>
  <si>
    <t>d6db1cff6fbc0e0d5c3103da4c7f78d4</t>
  </si>
  <si>
    <t>select * from ( select row_.*, rownum as rownum_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 as DEAL_ID,'1' RECORD_TYPE,z.RESULT_STATUS RECORD_STATUS,z.AUDIT_COMMENT, decode(nvl(INSTRUCTION_ID,''),?,'1','0') noteorder from FAX_INSTRUCTION z where 1=1 and PUSH_AT &gt;= trunc(to_date(?,'yyyy-mm-dd hh24:mi:ss')) and RESULT_STATUS='0' and PRODUCT_CODE = ? and RESULT_TYPE='2') fx ) row_ ) where rownum_ &gt; 0 and rownum_ &lt;= 10</t>
  </si>
  <si>
    <t>表csbs_instruction添加索引字段：note_id</t>
  </si>
  <si>
    <t>1161cf3e79036618f12cea08d47ed100</t>
  </si>
  <si>
    <t>SELECT SUM(sa.zlje) FROM sa_qszl sa WHERE sa.cpdm = ? AND sa.zllx = 'RAS' AND sa.yxbs = 'E'</t>
  </si>
  <si>
    <t>表sa_qszl添加索引字段：cpdm</t>
  </si>
  <si>
    <t>b8465c8fbde943c979ab8b04afb76a60</t>
  </si>
  <si>
    <t>a5bf57ba06062d6a5b0c001aebdb341a</t>
  </si>
  <si>
    <t>update TRANS_INFO set instruction_id='' where instruction_id=?</t>
  </si>
  <si>
    <t>表TRANS_INFO添加索引字段：instruction_id</t>
  </si>
  <si>
    <t>cd2287c46f5de78de1915a0c4ca7ac33</t>
  </si>
  <si>
    <t>select * from ( select row_.*, rownum as rownum_ from ( select SEQ_NO,YXBS,JYBH,CPDM,MJFS,XJLLX,XSFH,CJRQ,SJFSRQ,COIN_CODE,LCBJ,KHSY,XSGLF,QDGLF,RGF,SGF,SHF,TGF,TCGLF,ZDYFY1,ZDYFY2,ZDYFY3,GZSY,BZ,ZCPDM,CREATED_AT,(select is_cr.yhmc from ip_staff is_cr where gxr = is_cr.yhbh(+))GXR from SA_PRDHOLDCASH where 1=1 and CPDM like '%'||?||'%' and SJFSRQ = ? ) row_ ) where rownum_ &gt; 0 and rownum_ &lt;= 10</t>
  </si>
  <si>
    <t>表SA_PRDHOLDCASH添加索引字段：SJFSRQ</t>
  </si>
  <si>
    <t>d6357862afa7f24060dfabac1990b165</t>
  </si>
  <si>
    <t>SELECT a.FILE_PATH,a.FILE_TYPE,a.FILE_NAME,a.hyperlink,b.FAX_ID,b.QD_TRANS_ID FROM FAX_INSTRUCTION_IMAGE a,FAX_INSTRUCTION b WHERE a.BIND_FAX_ID = ? and a.FAX_ID = b.FAX_ID and b.RESULT_STATUS = '0'</t>
  </si>
  <si>
    <t>表fax_instruction_image添加索引字段：FAX_ID、BIND_FAX_ID</t>
  </si>
  <si>
    <t>bbd80a1590b4a720efbb5d9b221020d8</t>
  </si>
  <si>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</si>
  <si>
    <t>单次插入数据量达到4万条左右，需考虑分批插入，单次新增1000条</t>
  </si>
  <si>
    <t>77f44a0208f9719852eac56f8078df26</t>
  </si>
  <si>
    <t>SELECT count(1) FROM TGH_BALANCE WHERE 1=1 AND BALANCE_DATE = to_date(?,'yyyy/MM/dd')</t>
  </si>
  <si>
    <t>表TGH_BALANCE添加索引字段：BALANCE_DATE</t>
  </si>
  <si>
    <t>a83d18251c26449d87867317884c6b27</t>
  </si>
  <si>
    <t>delete from SJSMX where datadate between '20251103' and '20260405' and rownum &lt;= 10000</t>
  </si>
  <si>
    <t>减小日期范围，每天清理历史数据</t>
  </si>
  <si>
    <t>a6be661ed242db55f061e1a0b11662ac</t>
  </si>
  <si>
    <t>select fax.fax_id image_id, fax.file_path imagepath FROM fax_instruction_image fax where fax.fax_id in ( select faxi.fax_id from fax_instruction faxi where faxi.instruction_id = ? )</t>
  </si>
  <si>
    <t>b9be885f78391703b29d020ed2fe9ae5</t>
  </si>
  <si>
    <t>71676648e1bd02b359176658f0cc8a25</t>
  </si>
  <si>
    <t>select * from ( select row_.*, rownum as rownum_ from ( select DISTINCT a.AUTH_TRANSFER_ID,a.AUTHOPERA_TYPE,a.PROVIDER_ID,a.TRANSFER_RANGE,a.RECEIVER_ID,a.EFFECTSTATUS, a.OP_TYPE,a.FOUREYESSTATUS,a.AUDIT_COMMENT,a.CREATED_AT,a.CREATED_BY,a.UPDATED_AT,a.UPDATED_BY,a.VALIDATED_AT,a.VALIDATED_BY, is_va.yhmc as VALIDATED_BY_NAME, is_cr.yhmc as CREATED_BY_NAME, is_up.yhmc as UPDATED_BY_NAME, atp.AUTH_TRANSFER_STATUS as AUTH_TRANSFER_STATUS, atp.START_DATE as startDate, atp.START_TIME as startTime, atp.END_DATE as endDate, atp.END_TIME as endTime from AUTH_TRANSFER a, ip_staff_stmt is_va, ip_staff_stmt is_cr, ip_staff_stmt is_up, AUTH_TRANSFER_PRODUCT atp where 1=1 and a.created_by = is_cr.yhbh(+) and a.updated_by = is_up.yhbh(+) and a.validated_by = is_va.yhbh(+) and a.AUTH_TRANSFER_ID=atp.AUTH_TRANSFER_ID order by a.CREATED_AT desc ) row_ ) where rownum_ &gt; 0 and rownum_ &lt;= 10</t>
  </si>
  <si>
    <t>617bac4ecfbe65706c7c9316dbee261c</t>
  </si>
  <si>
    <t>select * from ( select row_.*, rownum as rownum_ from ( select DISTINCT a.AUTH_TRANSFER_ID,a.AUTHOPERA_TYPE,a.PROVIDER_ID,a.TRANSFER_RANGE,a.RECEIVER_ID,a.EFFECTSTATUS, a.OP_TYPE,a.FOUREYESSTATUS,a.AUDIT_COMMENT,a.CREATED_AT,a.CREATED_BY,a.UPDATED_AT,a.UPDATED_BY,a.VALIDATED_AT,a.VALIDATED_BY, is_va.yhmc as VALIDATED_BY_NAME, is_cr.yhmc as CREATED_BY_NAME, is_up.yhmc as UPDATED_BY_NAME, atp.AUTH_TRANSFER_STATUS as AUTH_TRANSFER_STATUS, atp.START_DATE as startDate, atp.START_TIME as startTime, atp.END_DATE as endDate, atp.END_TIME as endTime from AUTH_TRANSFER a, ip_staff_stmt is_va, ip_staff_stmt is_cr, ip_staff_stmt is_up, AUTH_TRANSFER_PRODUCT atp where 1=1 and a.created_by = is_cr.yhbh(+) and a.updated_by = is_up.yhbh(+) and a.validated_by = is_va.yhbh(+) and a.AUTH_TRANSFER_ID=atp.AUTH_TRANSFER_ID AND a.PROVIDER_ID in ( ? , ? , ? , ? , ? , ? , ? , ? , ? ) order by a.CREATED_AT desc ) row_ ) where rownum_ &gt; 0 and rownum_ &lt;= 10</t>
  </si>
  <si>
    <t>9e313b1016606af4bd253406e30a785d</t>
  </si>
  <si>
    <t>select * from ( select row_.*, rownum as rownum_ from ( select DISTINCT a.AUTH_TRANSFER_ID,a.AUTHOPERA_TYPE,a.PROVIDER_ID,a.TRANSFER_RANGE,a.RECEIVER_ID,a.EFFECTSTATUS, a.OP_TYPE,a.FOUREYESSTATUS,a.AUDIT_COMMENT,a.CREATED_AT,a.CREATED_BY,a.UPDATED_AT,a.UPDATED_BY,a.VALIDATED_AT,a.VALIDATED_BY, is_va.yhmc as VALIDATED_BY_NAME, is_cr.yhmc as CREATED_BY_NAME, is_up.yhmc as UPDATED_BY_NAME, atp.AUTH_TRANSFER_STATUS as AUTH_TRANSFER_STATUS, atp.START_DATE as startDate, atp.START_TIME as startTime, atp.END_DATE as endDate, atp.END_TIME as endTime from AUTH_TRANSFER a, ip_staff_stmt is_va, ip_staff_stmt is_cr, ip_staff_stmt is_up, AUTH_TRANSFER_PRODUCT atp where 1=1 and a.created_by = is_cr.yhbh(+) and a.updated_by = is_up.yhbh(+) and a.validated_by = is_va.yhbh(+) and a.AUTH_TRANSFER_ID=atp.AUTH_TRANSFER_ID AND a.PROVIDER_ID in ( ? , ? , ? , ? , ? , ? , ? , ? ) order by a.CREATED_AT desc ) row_ ) where rownum_ &gt; 0 and rownum_ &lt;= 10</t>
  </si>
  <si>
    <t>823a2b8ed8ef50a471fe33172294f2f4</t>
  </si>
  <si>
    <t>f1376a289a5101fd323569b88828bc55</t>
  </si>
  <si>
    <t>495b87a27dd225b87d82e9e02db2a23d</t>
  </si>
  <si>
    <t>5535ccd95ee318e843ec13096818781c</t>
  </si>
  <si>
    <t>查询条件中指令编号INSTRUCTION_ID字段改为精确匹配</t>
  </si>
  <si>
    <t>f138deafd42a93e676cda227656bbde8</t>
  </si>
  <si>
    <t>select * from rtgs_qsjg where 1=1 and Clearing_Serial_Number = ?</t>
  </si>
  <si>
    <t>f4a87d4f2379c180ccbeb00eeaac0e2b</t>
  </si>
  <si>
    <t>5664da2919166319ae139d5bad65a505</t>
  </si>
  <si>
    <t>begin update INSTRUCTION_INFOEM SET INSTRUCTION_ID = ?, INSTRUCTION_STATUS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SEND_PLAT = trunc(?), MANAGER_ID = ?, INFORM_AT = ?, PUSH_ZLPT = ?, PUSH_TYMH = ?, PUSH_TGT = ?, PAYMENT_STATUS = ? where INSTRUCTION_ID = ? ; update INSTRUCTION_INFOEM SET INSTRUCTION_ID = ?, INSTRUCTION_STATUS = ?, SEND_PLAT = tru</t>
  </si>
  <si>
    <t>更新内容不合理</t>
  </si>
  <si>
    <t>取消更新主键Instruction_id字段</t>
  </si>
  <si>
    <t>66e244c89bbcf69f6175fefa79c608df</t>
  </si>
  <si>
    <t>select t.product_id, p.product_code as product_code, t.SOURCE_PAY_DATE as created_at, sum(t.rem_fee) as rem_fee, t.pay_freq, '0' as generate_status, '0' as payment_status from REMFEE_INFO t inner join product p on t.product_id = p.product_id where t.generate_status = '0' and t.payment_status = '0' and SOURCE_PAY_DATE &gt;= to_date(?,'yyyy-mm-dd') and SOURCE_PAY_DATE &lt;= to_date(?,'yyyy-mm-dd') +1-1/86400 AND t.PRODUCT_ID in ( ? , ? , ? , ? , ? , ? , ? , ? , ? , ? , ? , ? , ? , ? , ? , ? , ? , ? , ? , ? , ? , ? , ? , ? , ? , ? , ? , ? , ? , ? , ? , ? , ? , ? , ? , ? , ? , ? , ? , ? , ? , ? , ? , ? ) group by t.product_id,t.pay_freq,t.source_pay_date,p.product_code</t>
  </si>
  <si>
    <t>931d1f2926e56525a16b4cdf0eca5782</t>
  </si>
  <si>
    <t>select AUTH_TRANSFER_PRODUCT_ID,AUTH_TRANSFER_ID,PROVIDER_ID,ROLE_ID,RECEIVER_ID,PRODUCT_ID,START_DATE,START_TIME,END_DATE,END_TIME,AUTH_TRANSFER_STATUS,FAX_SEND_STATUS,FAX_SEND_NUM,REMARK,CREATED_AT,CREATED_BY,UPDATED_AT,UPDATED_BY,VALIDATED_AT,VALIDATED_BY from AUTH_TRANSFER_PRODUCT where 1=1 and AUTH_TRANSFER_ID like ? order by RECEIVER_ID desc</t>
  </si>
  <si>
    <t>like改为精确匹配</t>
  </si>
  <si>
    <t>b96021f9de175c929ef3b59a5ecb7445</t>
  </si>
  <si>
    <t>2e2743cd162ac220bbab2a221a144a6c</t>
  </si>
  <si>
    <t>DELETE FROM IP_SCHEDULETASK_MONITOR I WHERE I.RWKSSJ BETWEEN to_timestamp('2025-11-09','yyyy-mm-dd') and to_timestamp('2026-02-04','yyyy-mm-dd') and rownum &lt;=100000</t>
  </si>
  <si>
    <t>1.减小日期范围，调整为每次清理一天的历史数据；
2.将原每次删除100000条调整为1000条；</t>
  </si>
  <si>
    <t>926c5cf259f160baef9a7042a911b191</t>
  </si>
  <si>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t>
  </si>
  <si>
    <t>7cf3987cc15dab6ecb20e5a8a53029a4</t>
  </si>
  <si>
    <t>select * from ( select row_.*, rownum as rownum_ from ( select SEQ_NO,YXBS,JYBH,CPDM,JYRQ,JYFX,ZCLX,ZCDM,ZCMC,ZCSL,JSJE,ZCSY,BJZY,SYZY,CREATED_AT,QXR,DQR,DQQX,ZYQSL,JJZE,YJLXZE,KJLX,(select is_cr.yhmc from ip_staff is_cr where gxr = is_cr.yhbh(+))GXR from SA_ZCDEAL where 1=1 and CPDM like '%'||?||'%' and JYRQ = ? ) row_ ) where rownum_ &gt; 0 and rownum_ &lt;= 10</t>
  </si>
  <si>
    <t>表SA_ZCDEAL添加索引字段：JYRQ</t>
  </si>
  <si>
    <t>bbdd8deae83c97c57de450e9d562c78c</t>
  </si>
  <si>
    <t>select count(1) from ( select DISTINCT a.AUTH_TRANSFER_ID,a.AUTHOPERA_TYPE,a.PROVIDER_ID,a.TRANSFER_RANGE,a.RECEIVER_ID,a.EFFECTSTATUS, a.OP_TYPE,a.FOUREYESSTATUS,a.AUDIT_COMMENT,a.CREATED_AT,a.CREATED_BY,a.UPDATED_AT,a.UPDATED_BY,a.VALIDATED_AT,a.VALIDATED_BY, is_va.yhmc as VALIDATED_BY_NAME, is_cr.yhmc as CREATED_BY_NAME, is_up.yhmc as UPDATED_BY_NAME, atp.AUTH_TRANSFER_STATUS as AUTH_TRANSFER_STATUS, atp.START_DATE as startDate, atp.START_TIME as startTime, atp.END_DATE as endDate, atp.END_TIME as endTime from AUTH_TRANSFER a, ip_staff_stmt is_va, ip_staff_stmt is_cr, ip_staff_stmt is_up, AUTH_TRANSFER_PRODUCT atp where 1=1 and a.created_by = is_cr.yhbh(+) and a.updated_by = is_up.yhbh(+) and a.validated_by = is_va.yhbh(+) and a.AUTH_TRANSFER_ID=atp.AUTH_TRANSFER_ID )</t>
  </si>
  <si>
    <t>e0ba7510c15c9cee30831cc098dbf181</t>
  </si>
  <si>
    <t>SELECT PRODUCT_ID||'_'||ACCOUNT_ID productAccount, BALANCE amount FROM TGH_BALANCE WHERE BALANCE_DATE = to_date(?,'yyyy/MM/dd')</t>
  </si>
  <si>
    <t>6858289c4da77f649d776347c1646f82</t>
  </si>
  <si>
    <t>begin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 ; update INFORM_DIVIDEND_TAX SET INFORM_JGDM = ?, INFORM_JGSM = ?, INFORM_SBZT = ?, INFORM_DECLAREDATE = ? where INFORM_SBBH = ?</t>
  </si>
  <si>
    <t>表INFORM_DIVIDEND_TAX添加索引字段：INFORM_SBBH</t>
  </si>
  <si>
    <t>90e7915fc0f42f6c9d4bc33489336cf8</t>
  </si>
  <si>
    <t>select * from rtgs_qsjg where 1=1 and Clearing_Serial_Number = ? and market = ?</t>
  </si>
  <si>
    <t>56c435248a31b1848e260d25ac1db017</t>
  </si>
  <si>
    <t>SELECT fs.pk_id FROM filedata_sjcl fs, product p WHERE p.product_id = ? AND fs.product_code = p.product_code AND fs.deal_status = '0' AND fs.payment_type_id = ? AND fs.sgzj = ? AND fs.zqdh = ? AND trunc(fs.sgrq) = trunc(cast(? as timestamp))</t>
  </si>
  <si>
    <t>1.表filedata_sjcl添加索引字段：sgrq；
2.去除trunc(fs.sgrq)中trunc函数；</t>
  </si>
  <si>
    <t>88374f2f3f0ef3cff3e61c0aa498513c</t>
  </si>
  <si>
    <t>select count(*) from dsfmx where 1 = 1 and FILENAME = ? and DATADATE = ?</t>
  </si>
  <si>
    <t>表dsfmx添加索引字段：DATADATE</t>
  </si>
  <si>
    <t>sqlId</t>
  </si>
  <si>
    <t>表拆分后的平均执行时间</t>
  </si>
  <si>
    <t>e24bfd4e5d37edf33b95c0d3808a4858</t>
  </si>
  <si>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</si>
  <si>
    <t>是</t>
  </si>
  <si>
    <t>instruction，ec_instruction</t>
  </si>
  <si>
    <t>78921d7748928846c95a5c7667f723b5</t>
  </si>
  <si>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</si>
  <si>
    <t>settlement_cashflow_history</t>
  </si>
  <si>
    <t>46a13c0ef4ac20c438c16dbdf24b1ecc</t>
  </si>
  <si>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</si>
  <si>
    <t>12a8f06532c60d8982e1dfbfce19cf99</t>
  </si>
  <si>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</si>
  <si>
    <t>settlement_cashflow</t>
  </si>
  <si>
    <t>c812967972ba9beb2470686534240cc6</t>
  </si>
  <si>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</si>
  <si>
    <t>balance_history</t>
  </si>
  <si>
    <t>bf2d7d12b4cd0e6629a58d33f5d61f6e</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</si>
  <si>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</si>
  <si>
    <t>76239a5add068a2ab845b5d15fdf8f58</t>
  </si>
  <si>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</si>
  <si>
    <t>be958d10787b4f8501c2e48a8ac8a291</t>
  </si>
  <si>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</si>
  <si>
    <t>1b6bb433d8d8942b6404da3770ff8c8d</t>
  </si>
  <si>
    <t>select count(1) from (SELECT cc.*, nvl(cc.SETTLEMENT_AMOUNT, 0) AS ccAmount, NVL(cc.OWNER_STATUS, cc.CONTRACT_STATUS) AS ccOwnerStatus FROM CSBS_CONTRACT cc where 1=1 and cc.product_id IN (SELECT pp.product_code FROM product_info_branch pib,product pp WHERE pib.product_id = pp.product_id and pib.roleid in(SELECT irs.jsbh FROM ip_role_stmt irs WHERE irs.jsmc in('核算经办','分行核算经办')) AND pib.userid in ( ? ) ) and (cc.SETTLEMENT_DATE &gt;=? or cc.finishdate &gt;=?) and (cc.SETTLEMENT_DATE &lt;=? or cc.finishdate &lt;=?) ) cc left join bank_account ba on cc.BANK_ACCOUNT_ID = ba.bank_account_id where 1=1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 SELECT IP.YHBH FROM sad_bow sb, ip_staff_stmt ip WHERE ip.yhbh = ? AND sb.effectstatus = '1' AND ip.ssjg = sb.branchid AND sb.borwlist = '1' AND sb.account_id = cc.bank_account_id ) ) OR(cc.BANK_ACCOUNT_ID IS NOT NULL and exists ( SELECT ip.yhbh FROM ip_staff ip WHERE ip.yhbh=? and ip.ssjg =ba.ind_branchid )) OR (cc.PRODUCT_ID IS NOT NULL and cc.PRODUCT_ID IN ( select p1.PRODUCT_CODE FROM product p1,ip_staff ips WHERE p1.OPERATION_MODE = '1' and p1.OPD_BRANCHID = ips.ssjg and ips.ssjg = 'G00017713' and ips.yhbh=? UNION all select p1.PRODUCT_CODE FROM product p1,ip_staff ips WHERE ips.yhbh=? and p1.OPERATION_MODE = '2' and (p1.OPD_BRANCHID = ips.ssjg or p1.IND_BRANCHID = ips.ssjg) UNION all select PRODUCT_CODE from product p1 WHERE (SELECT to_char(wm_concat(bia.authorize_institution)) FROM BRANCH_INSTR_AUTH bia,ip_staff ips</t>
  </si>
  <si>
    <t>CSBS_CONTRACT</t>
  </si>
  <si>
    <t>非慢SQL</t>
  </si>
  <si>
    <t>5d61a7a0750a6e02740a233e84f6735b</t>
  </si>
  <si>
    <t>e09f0cea930af369478d5271efa9ceae</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</si>
  <si>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</si>
  <si>
    <t>a21acd35d666e53f6f2c3dfe43a1104a</t>
  </si>
  <si>
    <t>select * from ( select row_.*, rownum as rownum_ from ( select cc.CONTRACT_PK_ID, cc.PRODUCT_ID, cc.PRODUCT_NAME,cc.DWFHK, cc.MANAGER_ID,cc.MARKET, cc.MANAGER_NAME, cc.CONTRACT_NO, cc.DEAL_ID, cc.INSTR_ID, cc.BUSINESS_TYPE, cc.STARTVALUE_INFO, cc.ENDVALUE_INFO, cc.CONTRACT_STATUS, cc.GIVE_ACCOUNT_ID, cc.GIVE_ACCOUNT_NAME, cc.TAKE_ACCOUNT_ID, cc.TAKE_ACCOUNT_NAME, cc.CONTRACT_DATE, cc.ORDER_SEQ, NVL(cc.OWNER_STATUS,cc.CONTRACT_STATUS) AS OWNER_STATUS, cc.PAYMENT_TYPE, cc.FAILREASON, cc.FINISHDATE, cc.CONTRACTFORZEN_STATUS, cc.BUSINESSNO, cc.CREATED_AT, cc.CREATED_BY, cc.UPDATED_AT, cc.UPDATED_BY, cc.BOND_SUM,cc.SETTLEMENT_AMOUNT,cc.GROSS_ORDER_STATUS,cc.FUND_SETT_STATUS, cc.PRODUCT_STATUS,cc.SETTLEMENT_DATE,cc.FULL_ORDER_TYPE,cc.ZQDM,cc.ZQJC, cc.CREATE_DATE,cc.CREATE_TIME,cc.TRADE_TYPE,'' as SRC_TRADE_ID,cc.FIRST_CREATE_DATE,cc.buyer_Settle_Confirm_Status, cc.seller_Settle_Confirm_Status,cc.pay_Confirm_Status,cc.recv_Confirm_Status, cc.BANK_ACCOUNT_ID, ba.BANK_ACCOUNT_NAME as bankAccountName, nvl(cc.is_bond2,'1') as is_bond2, cc.TRADE_SUBCAT_ID, cc.TRADE_SUBCAT_NAME from CSBS_CONTRACT cc left join bank_account ba on cc.BANK_ACCOUNT_ID = ba.bank_account_id where 1=1 and cc.product_id IN (SELECT pp.product_code FROM product_info_branch pib,product pp WHERE pib.product_id = pp.product_id and pib.roleid in(SELECT irs.jsbh FROM ip_role_stmt irs WHERE irs.jsmc in('核算经办','分行核算经办')) AND pib.userid in ( ? ) )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t>
  </si>
  <si>
    <t>9cc3edac6be99c402b78a0b3e847fe1b</t>
  </si>
  <si>
    <t>select * from ( select row_.*, rownum as rownum_ from ( SELECT * FROM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 'JGXCK') THEN (to_char(I.FINAL_PAYMENTSTATUS + 30)) WHEN I.FINAL_PAYMENTSTATUS IS NOT NULL AND I.FINAL_PAYMENTSTATUS != '6' AND I.FINAL_PAYMENTSTATUS != '3' AND (I.ACTION_STATUS IN ('12', '15', '99') OR (I.ACTION_STATUS IN ('10', '13') AND I.DIRECTION = '1')) AND I.PAYMENT_TYPE_ID IN ('TZBXL16', 'JGXCK') THEN (to_char(I.FINAL_PAYMENTSTATUS + 30)) WHEN I.FINAL_PAYMENTSTATUS = '3' AND I.ACTION_STATUS IN ('12', '15', '99') AND I.PAYMENT_TYPE_ID IN ('TZBXL16', 'JGXCK') THEN '50' WHEN I.payment_status IS NOT NULL AND I.payment_status = '7' AND I.PAYMENT_TYPE_ID = 'JGXCK' THEN '50' WHEN I.payment_status IS NOT NULL AND I.payment_status = '7' THEN '40' ELSE I.ACTION_STATUS END) actionStatus, NVL(I.FINAL_PAYMENTSTATUS, decode(I.PAYMENT_STATUS, '4', '4', '7', '10', NULL)) finalPaymentStatus, I.FINAL_PAYMENTSTATUS actualPaymentStatus, I.SOURCE_ID sourceId, P.PRODUCT_CODE productCode, P.PRODUCT_NAME custPrdName, to_char(I.PAYMENT_AT, 'yyyyMMdd') paymentAt, I.CREDIT_ACCOUNT creditAccount, replace(I.CREDIT_ACCOUNT_NAME, to_char(chr(13)) || to_char(chr(10)), '') creditAccountName, I.BANK_ID bankId, I.BANK_NAME bankName, I.PAYMENT_TYPE_ID paymentTypeId, (SELECT PAYMENT_TYPE_NAME FROM PAYMENT_TYPE WHERE PAYMENT_TYPE_ID = I.PAYMENT_TYPE_ID) paymentTypeName, I.DEBIT_ACCOUNT debitAccount, replace(I.DEBIT_ACCOUNT_NAME, to_char(chr(13)) || to_char(chr(10)), '') debitAccountName, I.FBANK_ID fBankId, I.FBANK_NAME fBankName, I.DIRECTION direction, to_char(I.CREATED_AT</t>
  </si>
  <si>
    <t>ad1985b73f0fd2bc0ce2e9300af4e4b2</t>
  </si>
  <si>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</si>
  <si>
    <t>SHCH_SUMMARY_STATEMENT</t>
  </si>
  <si>
    <t>258410359f3d48d363f836bbd52720d3</t>
  </si>
  <si>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</si>
  <si>
    <t>3b86a804cf8f02912c760d083f999277</t>
  </si>
  <si>
    <t>SELECT count(1) FROM (SELECT I.INSTRUCTION_ID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LEFT JOIN PRODUCT P ON E.PRODUCT_ID = P.PRODUCT_ID WHERE E.PAYMENT_DATE BETWEEN to_date(?, 'yyyy/MM/dd') AND to_date(?, 'yyyy/MM/dd') AND E.PRODUCT_ID IS NOT NULL AND NVL(E.MANAGER_ID, P.MANAGER_ID) = ? AND regexp_substr(I.ACTION_STATUS, '[0-9]+') IS NOT NULL AND (E.INSTRUCTION_NUM IN (?)) UNION ALL SELECT I.INSTRUCTION_ID instructionId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WHERE E.PAYMENT_DATE BETWEEN to_date(?, 'yyyy/MM/dd') AND to_date(?, 'yyyy/MM/dd') AND E.PRODUCT_ID IS NULL AND E.MANAGER_ID = ? AND regexp_substr(I.ACTION_STATUS, '[0-9]+') IS NOT NULL AND (E.INSTRUCTION_NUM IN (?)) UNION ALL SELECT I.INSTRUCTION_ID FROM sa_qszl sa INNER JOIN INSTRUCTION_DISTINCT D ON D.SOURCE_ID = '8' AND D.BUSINESS_ID = SA.YXBS || SA.ZHMH || SA.CPDM INNER JOIN INSTRUCTION I ON D.INSTRUCTION_ID = I.INSTRUCTION_ID INNER JOIN PRODUCT P ON I.PRODUCT_ID = P.PRODUCT_ID WHERE sa.ZLRQ BETWEEN ? AND ? AND P.MANAGER_ID = ? AND regexp_substr(I.ACTION_STATUS, '[0-9]+') IS NOT NULL AND (sa.ZHMH IN (?)))</t>
  </si>
  <si>
    <t>4f2d206b1aa4c750a937783bf43bc5a4</t>
  </si>
  <si>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</si>
  <si>
    <t>ca7ad7b5e8be23cd0efdf298c5bab376</t>
  </si>
  <si>
    <t>368c64b4a71794f3f6a2574c209ec3f3</t>
  </si>
  <si>
    <t>DELETE FROM instruction_sub ii WHERE instruction_id IN ( ? , ? , ? , ? , ? , ? , ? , ? , ? , ? , ? , ? , ? , ? , ? , ? , ? , ? , ? , ? , ? , ? , ? , ? , ? , ? , ? , ? , ? , ? , ? , ? , ? , ? , ? , ? , ? , ? , ? , ? , ? , ? , ? , ? , ? , ? , ? , ? , ? , ? , ? , ? , ? , ? , ? , ? , ? , ? , ? , ? , ? , ? , ? , ? , ? , ? , ? , ? , ? , ? , ? , ? , ? , ? ,</t>
  </si>
  <si>
    <t>instruction_sub</t>
  </si>
  <si>
    <t>9c4f733aa34d7a0a72896dc57311113c</t>
  </si>
  <si>
    <t>balance</t>
  </si>
  <si>
    <t>e29969195d5d86509a4498a4719fafb0</t>
  </si>
  <si>
    <t>delete from T_CIB_PRODUCTBALANCEINFO where FBALANCE_DATE = ?</t>
  </si>
  <si>
    <t>场内批处理，无需优化</t>
  </si>
  <si>
    <t>f63de3850a4c8ac69aa9b1099b6e785d</t>
  </si>
  <si>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t>
  </si>
  <si>
    <t>8f82bc2cf8a587f1803585d280eea52a</t>
  </si>
  <si>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</si>
  <si>
    <t>instruction_hist</t>
  </si>
  <si>
    <t>4d4ffaca0c36122762fd35ba74d1f898</t>
  </si>
  <si>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</si>
  <si>
    <t>eb2c78ccd637ce3500c4e72aa1685852</t>
  </si>
  <si>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</si>
  <si>
    <t>f48a7d808de78777db2ffff7f8d8bff0</t>
  </si>
  <si>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</si>
  <si>
    <t>d0d58b39078750870fb64d669f618a75</t>
  </si>
  <si>
    <t>select b.AUTH_TRANSFER_PRODUCT_ID, b.AUTH_TRANSFER_ID,b.PROVIDER_ID,b.ROLE_ID,b.RECEIVER_ID,b.PRODUCT_ID, b.AUTH_TRANSFER_STATUS,b.FAX_SEND_STATUS,b.FAX_SEND_NUM,b.REMARK from AUTH_TRANSFER_PRODUCT b RIGHT JOIN IP_ROLE_STMT a ON b.ROLE_ID =a.JSBH where b.FAX_SEND_STATUS=1 and b.FAX_SEND_NUM &lt;=3 and a.KZZD6 is not null</t>
  </si>
  <si>
    <t>3c2843e0c405679cb73a8c804998ab15</t>
  </si>
  <si>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</si>
  <si>
    <t>8e95eb046dbd9de9ac77dadd98612df0</t>
  </si>
  <si>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</si>
  <si>
    <t>core_cashflow_account</t>
  </si>
  <si>
    <t>375ad51265a35867df5805e72ffdafbb</t>
  </si>
  <si>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</si>
  <si>
    <t>8328e9cb958adbc721f4c08aa4b440c3</t>
  </si>
  <si>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</si>
  <si>
    <t>440ac1098ef811cdd2bf579a4a843050</t>
  </si>
  <si>
    <t>SELECT count(1) FROM ( SELECT 1 FROM CORE_CASHFLOW CC WHERE BATCH_NUM = ? AND ( (1=1 ) or (1=1 ) or (1=1 ) or (1=1 ) or (1=1 ) or (1=1 ) or (1=1 ) or (1=1 ) or (1=1 ) or (1=1 ) or (1=1 ) or (1=1 ) or (1=1 ) or (1=1 ) or (1=1 ) or (1=1</t>
  </si>
  <si>
    <t>40879fa069ea3676f2c7ef899fef6be6</t>
  </si>
  <si>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</si>
  <si>
    <t>CSBS_INSTRUCTION</t>
  </si>
  <si>
    <t>e5be98f4bfd1d9427b1918fd0e31a714</t>
  </si>
  <si>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</si>
  <si>
    <t>ffd6e8d7e268263e9c853066ff85cf29</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</si>
  <si>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t>
  </si>
  <si>
    <t>f79dd461332193efbaf3e4002ae8ee08</t>
  </si>
  <si>
    <t>b9e0c26dfc14b39c83ce103590e8dc77</t>
  </si>
  <si>
    <t>SELECT BA.BALANCE_ID, BA.PRODUCT_ID, BA.ACCOUNT_ID, BA.ACCOUNT_TYPE_ID, BA.BALANCE_DATE, BA.AMOUNT FROM BALANCE BA WHERE BA.BALANCE_DATE = ? AND BA.ACCOUNT_TYPE_ID IN (SELECT A.ACCOUNT_TYPE_ID FROM ACCOUNT_TYPE A WHERE A.SJ_ACCOUNT_TYPE_ID='zhinitcnzh0') ORDER BY BA.BALANCE_ID FOR UPDATE</t>
  </si>
  <si>
    <t>0e34eee7a9af0efca0c7b81b40841813</t>
  </si>
  <si>
    <t>514b2b6bec8db45d841efc2760c83279</t>
  </si>
  <si>
    <t>f3d8e30c1e642a39887fc36e268ee06b</t>
  </si>
  <si>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</si>
  <si>
    <t>b1038228fb86a89c0e1758bcb51a2a18</t>
  </si>
  <si>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</si>
  <si>
    <t>526f2d769ae3f65d543b4385de474075</t>
  </si>
  <si>
    <t>select * from ( select row_.*, rownum as rownum_ from ( select cc.CONTRACT_PK_ID, cc.PRODUCT_ID, cc.PRODUCT_NAME,cc.DWFHK, cc.MANAGER_ID,cc.MARKET, cc.MANAGER_NAME, cc.CONTRACT_NO, cc.DEAL_ID, cc.INSTR_ID, cc.BUSINESS_TYPE, cc.STARTVALUE_INFO, cc.ENDVALUE_INFO, cc.CONTRACT_STATUS, cc.GIVE_ACCOUNT_ID, cc.GIVE_ACCOUNT_NAME, cc.TAKE_ACCOUNT_ID, cc.TAKE_ACCOUNT_NAME, cc.CONTRACT_DATE, cc.ORDER_SEQ, NVL(cc.OWNER_STATUS,cc.CONTRACT_STATUS) AS OWNER_STATUS, cc.PAYMENT_TYPE, cc.FAILREASON, cc.FINISHDATE, cc.CONTRACTFORZEN_STATUS, cc.BUSINESSNO, cc.CREATED_AT, cc.CREATED_BY, cc.UPDATED_AT, cc.UPDATED_BY, cc.BOND_SUM,cc.SETTLEMENT_AMOUNT,cc.GROSS_ORDER_STATUS,cc.FUND_SETT_STATUS, cc.PRODUCT_STATUS,cc.SETTLEMENT_DATE,cc.FULL_ORDER_TYPE,cc.ZQDM,cc.ZQJC, cc.CREATE_DATE,cc.CREATE_TIME,cc.TRADE_TYPE,'' as SRC_TRADE_ID,cc.FIRST_CREATE_DATE,cc.buyer_Settle_Confirm_Status, cc.seller_Settle_Confirm_Status,cc.pay_Confirm_Status,cc.recv_Confirm_Status, cc.BANK_ACCOUNT_ID, ba.BANK_ACCOUNT_NAME as bankAccountName, nvl(cc.is_bond2,'1') as is_bond2, cc.TRADE_SUBCAT_ID, cc.TRADE_SUBCAT_NAME from CSBS_CONTRACT cc left join bank_account ba on cc.BANK_ACCOUNT_ID = ba.bank_account_id where 1=1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 SELECT IP.YHBH FROM sad_bow sb, ip_staff_stmt ip WHERE ip.yhbh = ? AND sb.effectstatus = '1' AND ip.ssjg = sb.branchid AND sb.borwlist = '1' AND sb.account_id = cc.bank_account_id</t>
  </si>
  <si>
    <t>a23d603f691c305a294aa32ad901c5d4</t>
  </si>
  <si>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</si>
  <si>
    <t>fd69bba016c11f77cfad45f40f83e04a</t>
  </si>
  <si>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NOT EXISTS( SELECT 1 FROM AUTH_TRANSFER_PRODUCT WHERE ROLE_ID = PIB.ROLEID AND AUTH_TRANSFER_STATUS = '2' AND PRODUCT_ID = PIB.PRODUCT_ID AND PROVIDER_ID = PIB.USERID) ) HSYHS WHERE ISF.YHBH = HSYHS.USERID AND ISF.SSJG=IUS.ZJ AND ISF.effectstatus='1' group by HSYHS.PRODUCT_ID</t>
  </si>
  <si>
    <t>product_info_branch</t>
  </si>
  <si>
    <t>66922160801ac718a6f8d6c3fa87b157</t>
  </si>
  <si>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</si>
  <si>
    <t>6d630ea8c33ba214c01eddcbdd05c644</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</si>
  <si>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</si>
  <si>
    <t>6f74c6373c58cb2045343669b81fb7d7</t>
  </si>
  <si>
    <t>select z.instruction_id from instruction z,instruction_ext ie where z.payment_status = '3' and z.payment_type_id in ('JWZQ01','JWZQ02') and z.PAYMENT_AT &gt;= trunc(sysdate - 30) and z.PAYMENT_AT &lt; trunc(sysdate+1) and z.instruction_id = ie.instruction_id and ie.INSTRUCTION_PARAM_NAME = 'zqch' AND ie.INSTRUCTION_PARAM_VALUE = ? order by z.instruction_id DESC</t>
  </si>
  <si>
    <t>0ce1a2e5e92899459eda1b8d7b851229</t>
  </si>
  <si>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</si>
  <si>
    <t>558c45cd2258aa7b6be571cefdbadedd</t>
  </si>
  <si>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II.DEBIT_ACCOUNT = RIC.DEBIT_ACCOUNT AND II.PAYMENT_AT = RIC.CASHFLOW_AT AND RIC.COUNTER_CASHFLOW = II.COUNTER_CASHFLOW AND (RIC.CASHFLOW_ID IN ( ? , ? , ? , ? , ? , ? , ? , ? , ? , ? , ? , ? , ? , ? , ? , ? , ? , ? , ? , ? , ? , ? , ? , ? ,</t>
  </si>
  <si>
    <t>31a759d958f4b4874275aa3f9577e645</t>
  </si>
  <si>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</si>
  <si>
    <t>f9631d57591b883a1aa43ced318ff52e</t>
  </si>
  <si>
    <t>fbb3effa125e9aaf26671534bc070062</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</si>
  <si>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union ALL SELECT 1 FROM DUAL WHERE 1=1 AND BA.PRODUCT_ID = ? AND BA.ACCOUNT_ID = ? ) AND NOT EXISTS( SELECT 1 FROM CheckUnuseProduct c WHERE BA.PRODUCT_ID = c.PRODUCT_ID ) ) T</t>
  </si>
  <si>
    <t>0efca4ba1be302d05e4c416dba627e91</t>
  </si>
  <si>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t>
  </si>
  <si>
    <t>c3c38b2e0f189f4cad49cac709cde8bf</t>
  </si>
  <si>
    <t>settlement-query</t>
  </si>
  <si>
    <t>2f6155dabaf96d52d44a6d5cd6a6a609</t>
  </si>
  <si>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</si>
  <si>
    <t>fe5e7893b643113b6640589d4e18a38e</t>
  </si>
  <si>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</si>
  <si>
    <t>19794e51195b167762a7c90e6568fa4f</t>
  </si>
  <si>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</si>
  <si>
    <t>CSBS_SUMMARY_STATEMENT,shch_summary_statement</t>
  </si>
  <si>
    <t>856c182912d26f93de0d85e6dce22197</t>
  </si>
  <si>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50</t>
  </si>
  <si>
    <t>699a54709f82ce6e8d87d9f9a3cee320</t>
  </si>
  <si>
    <t>fca72f58c446682ad18289fe63e61d7f</t>
  </si>
  <si>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</si>
  <si>
    <t>255b3fc45997106e1dfed6d15636ec7f</t>
  </si>
  <si>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t>
  </si>
  <si>
    <t>39f2f39c0687ea5e922db04a4c3cb38d</t>
  </si>
  <si>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ba.bank_account_id where CI.instr_status='IS03' and ((CI.OUR_STATUS = 'IC02' and CI.ACCOUNT_TYPE='1') or (CI.COUNTER_STATUS = 'IC02' and CI.ACCOUNT_TYPE='2')) and ( CI.CREATED_AT &gt;= trunc(cast(? as timestamp)) and CI.CREATED_AT &lt;trunc(cast(? as timestamp))+1 or CI.DELIVER_DATE1 between</t>
  </si>
  <si>
    <t>2b86729e9946474ddfeb2a3a84c4e7c8</t>
  </si>
  <si>
    <r>
      <rPr>
        <sz val="9.75"/>
        <color rgb="FF000000"/>
        <rFont val="宋体"/>
        <family val="3"/>
        <charset val="134"/>
        <scheme val="minor"/>
      </rPr>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t>
    </r>
    <r>
      <rPr>
        <i/>
        <sz val="9.75"/>
        <color rgb="FF000000"/>
        <rFont val="Calibri"/>
        <family val="2"/>
      </rPr>
      <t>final_paymentstatus</t>
    </r>
    <r>
      <rPr>
        <sz val="10"/>
        <rFont val="宋体"/>
        <family val="3"/>
        <charset val="134"/>
      </rPr>
      <t xml:space="preserve">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r>
  </si>
  <si>
    <t>CRITICAL_MONITOR_SIGN</t>
  </si>
  <si>
    <t>acaeefdd1aae2407719a55ddab87856e</t>
  </si>
  <si>
    <t>SELECT BA.BALANCE_ID, BA.PRODUCT_ID, BA.ACCOUNT_ID, BA.ACCOUNT_TYPE_ID, BA.BALANCE_DATE, BA.AMOUNT FROM BALANCE BA WHERE BA.BALANCE_DATE = ? AND BA.ACCOUNT_TYPE_ID IN (SELECT A.ACCOUNT_TYPE_ID FROM ACCOUNT_TYPE A WHERE A.SJ_ACCOUNT_TYPE_ID='zhinitcnzh0') AND BA.PRODUCT_ID IN ( ? , ? , ? , ? , ? , ? , ? , ? , ? , ? , ? , ? , ? , ? , ? , ? , ? , ? , ? , ? , ? , ? , ? , ? , ? , ? , ? , ? , ? , ? , ? , ? , ? , ? , ? , ? , ? , ? , ? , ? , ? , ? , ? , ? , ? , ? , ? , ? , ? , ? , ? , ? , ? , ? , ? , ? , ? , ? , ?</t>
  </si>
  <si>
    <t>cad82930efbb2a9d39b839ae4da2116c</t>
  </si>
  <si>
    <t>select * from ( select row_.*, rownum as rownum_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(CC.SETTLEMENT_DATE &gt;=? or CC.finishdate &gt;=?) and (CC.SETTLEMENT_DATE &lt;=? or CC.finishdate &lt;=?) and ( ( 1=1 and pro.product_code = ? and cc.bank_account_id =</t>
  </si>
  <si>
    <t>csbs_contract,shch_instruction_origin，csbs_instruction_origin</t>
  </si>
  <si>
    <t>73a3e510b84b0cd6b8b9c57cd2307f43</t>
  </si>
  <si>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</si>
  <si>
    <t>3e4edf93e9eef1f3d5b29572890a88b4</t>
  </si>
  <si>
    <t>21f1a7dbb75e23f4eb893b9828d177ff</t>
  </si>
  <si>
    <t>select * from ( select row_.*, rownum as rownum_ from ( SELECT i.instruction_id, i.product_id, i.payment_date, i.payment_type_id, i.direction, i.amount, i.payment_reason, i.source_id, i.credit_account, i.credit_account_name, i.debit_account, i.debit_account_name, i.bank_id, i.bank_name, i.batch, i.entrust, i.ipo_subscribe, i.wfid, i.wfsid, i.iterationid, i.position, i.p_instruction_id, i.payment_status, i.action_status, i.payment_mode, i.payment_at, i.inter_bank, i.same_city, i.message, i.created_at, i.created_by, i.updated_at, i.updated_by, i.instruction_type, i.concentrate_status, i.validated_by, i.use_id, i.plustype, i.out_instruction_id, i.security_code, i.fbank_id, i.fbank_name, i.fdqh, i.fjgh, i.sdqh, i.sjgh, i.db_product_id, i.realtime_status, i.parent_instruction_id, i.credit_acct_type_id, i.debit_acct_type_id, i.credit_account_id, i.debit_account_id, i.currency bz, i.withdraw, i.voucher, i.business_type, i.cash, i.credit_card, i.post_route, i.payment_level, i.business_subject, i.summary, i.custom_type, i.business_category, i.channel, i.account_voucher, i.account_password, i.futher_code, i.futher_password, i.core_interface, i.counter_cashflow, i.qsxwh, i.wxfxzyxx, i.interface_code, i.hsbz, i.sub_type_id, i.message_v, i.zqzh, i.zqdm, i.return_msg, i.autopay, i.trade_type, i.instr_gen_source, i.enteraccount_flag, i.lock_status, i.role_id, i.core_msg, i.final_paymentstatus, i.ztczfjg, i.ldsjms, i.kh_paymentstatus, i.core_instruction_type, i.cfcs, i.beiyong1, i.zlscfsj, i.showcomeaccount, i.paymentway, i.faxpushtime, i.nextdateinstructionid, i.instruc_batch, i.instruc_batch_flag, i.instruc_batch_sum, i.instruc_batch_detail, i.user_subsidiary_organ, i.zyzxretfaxtime, i.zyzxretmsg, i.zyzxbz, i.activity_center_status, i.activity_center_flag, i.activity_center_message, i.ywlsh, i.zjtzzh, i.qhgsdm, i.instr_jbr, i.instr_fhr, i.batchinsno, i.successful_paid_at, i.pay_lock_status, i.pay_lock_user, i.remark, i.auto_remark, i.is_emergency_payment, i.tgt_qdzlbh, i.timestam</t>
  </si>
  <si>
    <t>7b06c102606dca94dd3711bb1e77be9f</t>
  </si>
  <si>
    <t>BEGIN DBMS_STATS.GATHER_TABLE_STATS(?,?); END;</t>
  </si>
  <si>
    <t>无需优化</t>
  </si>
  <si>
    <t>89af6569512af9fd79efb55cc5dd7b73</t>
  </si>
  <si>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</si>
  <si>
    <t>HQDGZWJ，DGZZHZWJ</t>
  </si>
  <si>
    <t>2b6c350d06a2643622b9e9a46e7ebe52</t>
  </si>
  <si>
    <t>DELETE FROM instruction_hist ii WHERE instruction_id IN ( ? , ? , ? , ? , ? , ? , ? , ? , ? , ? , ? , ? , ? , ? , ? , ? , ? , ? , ? , ? , ? , ? , ? , ? , ? , ? , ? , ? , ? , ? , ? , ? , ? , ? , ? , ? , ? , ? , ? , ? , ? , ? , ? , ? , ? , ? , ? , ? , ? , ? , ? , ? , ? , ? , ? , ? , ? , ? , ? , ? , ? , ? , ? , ? , ? , ? , ? , ? , ? , ? , ? , ? , ? , ? ,</t>
  </si>
  <si>
    <t>c5a536d7074b79e58047a062db8d562a</t>
  </si>
  <si>
    <t>5a83caf68078e28c02b02c6b53b175cb</t>
  </si>
  <si>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</si>
  <si>
    <t>trans_info</t>
  </si>
  <si>
    <t>0664370a725fe16f91cc8eabd7b78552</t>
  </si>
  <si>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</si>
  <si>
    <t>5bde6ab84053c01052c1de0fb526219f</t>
  </si>
  <si>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t>
  </si>
  <si>
    <t>20ce8c5b2b3b01c6b52574fff75c1059</t>
  </si>
  <si>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</si>
  <si>
    <t>a6bbdc82e780fa5a77f0a8466a88c2ea</t>
  </si>
  <si>
    <t>select count(1) from (SELECT cc.*, nvl(cc.SETTLEMENT_AMOUNT, 0) AS ccAmount, NVL(cc.OWNER_STATUS, cc.CONTRACT_STATUS) AS ccOwnerStatus FROM CSBS_CONTRACT cc where 1=1 and cc.product_id IN (SELECT pp.product_code FROM product_info_branch pib,product pp WHERE pib.product_id = pp.product_id and pib.roleid in(SELECT irs.jsbh FROM ip_role_stmt irs WHERE irs.jsmc in('核算经办','分行核算经办')) AND pib.userid in ( ? ) ) and (cc.SETTLEMENT_DATE &gt;=? or cc.finishdate &gt;=?) and (cc.SETTLEMENT_DATE &lt;=? or cc.finishdate &lt;=?) and cc.CONTRACT_STATUS in ( ? , ? , ? , ? , ? , ? , ? , ? , ? , ? , ? , ? , ? , ? , ? , ? , ? , ? , ? , ? , ? , ? , ? , ? , ? , ? , ? , ? , ? , ? , ? , ? , ? , ? , ? , ? , ? , ? , ? , ? , ? ) ) cc left join bank_account ba on cc.BANK_ACCOUNT_ID = ba.bank_account_id where 1=1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 SELECT IP.YHBH FROM sad_bow sb, ip_staff_stmt ip WHERE ip.yhbh = ? AND sb.effectstatus = '1' AND ip.ssjg = sb.branchid AND sb.borwlist = '1' AND sb.account_id = cc.bank_account_id ) ) OR(cc.BANK_ACCOUNT_ID IS NOT NULL and exists ( SELECT ip.yhbh FROM ip_staff ip WHERE ip.yhbh=? and ip.ssjg =ba.ind_branchid</t>
  </si>
  <si>
    <t>fc57e64b3586bd1f0b4e379448d9479d</t>
  </si>
  <si>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</si>
  <si>
    <t>FAX_INSTRUCTION</t>
  </si>
  <si>
    <t>a3262a0b05bec5a16d2204722a146559</t>
  </si>
  <si>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</si>
  <si>
    <t>d643d0109223c69cec0d5f7734c286d8</t>
  </si>
  <si>
    <t>1838b325b0b8525411b4c6a93544cc8b</t>
  </si>
  <si>
    <t>eb6a70e48a83b45afb50372b385e43e6</t>
  </si>
  <si>
    <t>b43e951db9b6770841274bf83a36b04e</t>
  </si>
  <si>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</si>
  <si>
    <t>56bb66cbe15369f4be69f2729263b0de</t>
  </si>
  <si>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</si>
  <si>
    <t>e3d852e002dd2725398c24c44bfef8cd</t>
  </si>
  <si>
    <t>COUNTERPARTY_ACCOUNT</t>
  </si>
  <si>
    <t>08815335740febaf8e1ebf2d4121858f</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</si>
  <si>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</si>
  <si>
    <t>cce4289ad1326013d5b66172409997b6</t>
  </si>
  <si>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</si>
  <si>
    <t>3fc9c5f93eaf66abbe3d4176424a116a</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</si>
  <si>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</si>
  <si>
    <t>6f6b08a51074179536ca8caf1ca5784d</t>
  </si>
  <si>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INTERFACE_CODE, NULL HSBZ, NULL SUB_TYPE_ID, NULL fy, NULL zqzh, NULL zqdm, NULL return_msg, NULL autopay, '1' trade_type, NULL instr_gen_source, NULL lock_status, NULL role_id, z.CREATED_AT faxpush</t>
  </si>
  <si>
    <t>aef597a92263c1958c66247535ad3234</t>
  </si>
  <si>
    <t>SELECT count(1) FROM ( SELECT 1 FROM CORE_CASHFLOW CC WHERE BATCH_NUM = ? AND (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or (1=1 AND SC.PRODUCT_ID = ?</t>
  </si>
  <si>
    <t>5934efca7e6396defeaaa7b5da256099</t>
  </si>
  <si>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</si>
  <si>
    <t>00f75f1e62111803a5deefcb98d3001f</t>
  </si>
  <si>
    <t>7315f479a7cfd3939458db9e26c30813</t>
  </si>
  <si>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</si>
  <si>
    <t>3dc0908757047a097831d4849479372e</t>
  </si>
  <si>
    <t>select count(*) from PRODUCT_MATURITY z where 1=1 and instr(right_check(z.product_id, ?, 'A'), '4') &gt; 0</t>
  </si>
  <si>
    <t>37618ed5f15d5d2ae662505ab9eb0941</t>
  </si>
  <si>
    <t>7077c1111e98422db2a847babfb47147</t>
  </si>
  <si>
    <t>CORE_CASHFLOW_ACCOUNT</t>
  </si>
  <si>
    <t>30489dfa11280b79afb9e9952f70d639</t>
  </si>
  <si>
    <t>SELECT T.BUSINESSTYPE, T.FILENAME, T.HOPERECEIVEAT theotyReceiveAt, T.ISNEED, T.FILERULE, T.READSTATUS, T.MARKET, --MAX(UPSTT) readStatus, --MAX(UPAT) receiveAt, SUM(CASE WHEN T.READAT IS NULL THEN 0 ELSE 1 END) recordNumNew, MAX(T.READAT) readAt, max(T.REFILENAME) refilename, T.SRCTYPE systemType FROM (SELECT CFC.BUSINESS_TYPE BUSINESSTYPE, CFC.FILENAME FILENAME, CFC.RECEIVE_AT HOPERECEIVEAT, CFC.IS_NEED ISNEED, CFC.EFFECT_STATUS EFFECTSTATUS, CFC.MARKET MARKET, CFC.FILE_RULE FILERULE, -- UP.RECEIPT_DATE UPAT, -- CASE -- WHEN UP.FILE_NAME IS NULL THEN 0 -- WHEN UP.FILE_NAME IS NOT NULL AND (UPLOAD_SIZE != LOAD_SIZE OR UPLOAD_SIZE = '0') THEN 2 -- ELSE 1 -- END UPSTT, --UP.RECEIPT_DATE UPAT, ----文件到达状态: 0-未到达;1-成功;2-失败; RE.SRCTYPE, RE.READAT READAT, RE.STATUS READSTATUS, RE.FILE_NAME REFILENAME FROM CSDS_FILE_CONFIG CFC LEFT JOIN (SELECT 'YSS' SRCTYPE, SUBSTR(YSS.FIMP_FILE, INSTR(YSS.FIMP_FILE, '/', -1) + 1) FILE_NAME, YSS.FINISH_TIME READAT, CASE WHEN YSS.FRESULT_STATUS = 'PLJG01' THEN '0' WHEN YSS.FRESULT_STATUS = 'PLJG02' THEN '1' WHEN YSS.FRESULT_STATUS = 'PLJG03' THEN '2' ELSE '3' END STATUS FROM YSSACS.T_DI_RESULT YSS WHERE YSS.FDATE = TO_DATE(?, 'YYYYMMDD') UNION ALL SELECT 'XQS' SRCTYPE, substr(XQS.CONTROL_ID, instr(XQS.CONTROL_ID, '-') + 1) FILE_NAME, XQS.BEGIN_TIME READAT, XQS.STATUS FROM TRADE_CONTROL XQS WHERE XQS.HANDLE_DATE = ?) RE ON REGEXP_LIKE(RE.FILE_NAME, CFC.FILE_RULE,'i')) T where T.EFFECTSTATUS = '1'</t>
  </si>
  <si>
    <t>b677b2e513ce987951077abc005adeb4</t>
  </si>
  <si>
    <t>CSBS_SUMMARY_STATEMENT</t>
  </si>
  <si>
    <t>e7d3d80e8f298a1d3276687fdce5b824</t>
  </si>
  <si>
    <t>select * from ( select row_.*, rownum as rownum_ from ( select * from ( 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t>
  </si>
  <si>
    <t>7de3f0734b6c9e2b51b245a6af86d174</t>
  </si>
  <si>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</si>
  <si>
    <t>SHCH_INSTRUCTION_ORIGIN</t>
  </si>
  <si>
    <t>b5494f99e44ea9742a9f09b93d10fb39</t>
  </si>
  <si>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100</t>
  </si>
  <si>
    <t>9181a05a14e108ae37d714a0b428d37c</t>
  </si>
  <si>
    <t>2e8cbbfaa27d09894fc64179be472070</t>
  </si>
  <si>
    <t>INSERT INTO T_CIB_PRODUCTBALANCEINFO ( FID, FPRODUCT_ID, FCSDS_ACCOUNT_ID, FBANK_ACCOUNT_NAME, FACCOUNT_TYPE_ID, FPRODUCT_CODE, FAMOUNT, FBALANCE_DATE ) SELECT BA.BALANCE_ID, BA.PRODUCT_ID, BA.ACCOUNT_ID, (SELECT CA.ACCOUNT_NAME FROM CSDS_ACCOUNT CA WHERE CA.CSDS_ACCOUNT_ID = BA.ACCOUNT_ID AND CA.ACCOUNT_TYPE_ID = BA.ACCOUNT_TYPE_ID) ACCOUNT_NAME, CASE BA.ACCOUNT_TYPE_ID WHEN 'ZHLX15' THEN 'ZHLX07' WHEN 'ZHLX16' THEN 'ZHLX09' WHEN 'ZHLX17' THEN 'ZHLX13' WHEN 'ZHLX18' THEN 'ZHLX15' WHEN 'ZHLX19' THEN 'ZHLX_SHJCBZJ' WHEN 'ZHLX20' THEN 'ZHLX_SZ_JCBZJ' WHEN 'ZHLX21' THEN 'ZHLX16' WHEN 'ZHLX27' THEN 'ZHLX06' WHEN 'ZHLX28' THEN 'ZHLX08' WHEN 'ZHLX29' THEN 'ZHLX12' WHEN 'ZHLX30' THEN 'ZHLX14' WHEN 'ZHLX31' THEN 'ZHLX56' WHEN 'ZHLX33' THEN 'ZHLX10' WHEN 'ZHLX38' THEN 'ZHLX33' WHEN 'ZHLX39' THEN 'ZHLX34' WHEN 'ZHLX40' THEN 'ZHLX21' WHEN 'ZHLX41' THEN 'ZHLX22' WHEN 'ZHLX42' THEN 'ZHLX32' WHEN 'ZHLX43' THEN 'ZHLX36' WHEN 'ZHLX47' THEN 'ZHLX60' WHEN 'ZHLX48' THEN 'ZHLX61' WHEN 'ZHLX22' THEN 'ZHLX_SZ_ETFSSBFJ' END AS ACCOUNT_TYPE_ID , (SELECT P.PRODUCT_CODE FROM PRODUCT P WHERE P.PRODUCT_ID = BA.PRODUCT_ID) PRODUCT_CODE, BA.AMOUNT, BA.BALANCE_DATE FROM BALANCE BA WHERE BA.BALANCE_DATE = ? AND BA.ACCOUNT_TYPE_ID IN ( ? , ? , ? , ? , ? , ? , ? , ? , ? , ? , ? , ? , ? , ? , ? , ? , ? , ? , ? , ? , ? , ?</t>
  </si>
  <si>
    <t>fce151bcc6dab40c85b5675648ad239e</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</si>
  <si>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t>
  </si>
  <si>
    <t>380efe00f8f1ebec29be70f27bca30a0</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</si>
  <si>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</si>
  <si>
    <t>672c8a4a868b92a9297a8d65cf60a462</t>
  </si>
  <si>
    <t>select count(*) from INSTRUC_SUPERVISION_MATCH z where 1=1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</si>
  <si>
    <t>para_code</t>
  </si>
  <si>
    <t>7d1c18251df1899d1ea9fa71ae1da5f8</t>
  </si>
  <si>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</si>
  <si>
    <t>c3fb88d4d777d860357b78ed631ee29b</t>
  </si>
  <si>
    <t>select * from ( select row_.*, rownum as rownum_ from ( select cc.CONTRACT_PK_ID, cc.PRODUCT_ID, cc.PRODUCT_NAME,cc.DWFHK, cc.MANAGER_ID,cc.MARKET, cc.MANAGER_NAME, cc.CONTRACT_NO, cc.DEAL_ID, cc.INSTR_ID, cc.BUSINESS_TYPE, cc.STARTVALUE_INFO, cc.ENDVALUE_INFO, cc.CONTRACT_STATUS, cc.GIVE_ACCOUNT_ID, cc.GIVE_ACCOUNT_NAME, cc.TAKE_ACCOUNT_ID, cc.TAKE_ACCOUNT_NAME, cc.CONTRACT_DATE, cc.ORDER_SEQ, NVL(cc.OWNER_STATUS,cc.CONTRACT_STATUS) AS OWNER_STATUS, cc.PAYMENT_TYPE, cc.FAILREASON, cc.FINISHDATE, cc.CONTRACTFORZEN_STATUS, cc.BUSINESSNO, cc.CREATED_AT, cc.CREATED_BY, cc.UPDATED_AT, cc.UPDATED_BY, cc.BOND_SUM,cc.SETTLEMENT_AMOUNT,cc.GROSS_ORDER_STATUS,cc.FUND_SETT_STATUS, cc.PRODUCT_STATUS,cc.SETTLEMENT_DATE,cc.FULL_ORDER_TYPE,cc.ZQDM,cc.ZQJC, cc.CREATE_DATE,cc.CREATE_TIME,cc.TRADE_TYPE,'' as SRC_TRADE_ID,cc.FIRST_CREATE_DATE,cc.buyer_Settle_Confirm_Status, cc.seller_Settle_Confirm_Status,cc.pay_Confirm_Status,cc.recv_Confirm_Status, cc.BANK_ACCOUNT_ID, ba.BANK_ACCOUNT_NAME as bankAccountName, nvl(cc.is_bond2,'1') as is_bond2, cc.TRADE_SUBCAT_ID, cc.TRADE_SUBCAT_NAME from CSBS_CONTRACT cc left join bank_account ba on cc.BANK_ACCOUNT_ID = ba.bank_account_id where 1=1 and ( cc.product_name like '%'||?||'%' or cc.product_name like '%'||?||'%' )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 SELECT IP.YHBH FROM sad_bow sb, ip_staff_stmt ip WHERE ip.yhbh = ? AND sb.effectstatus = '1' AND ip.ssjg =</t>
  </si>
  <si>
    <t>1ff33b2d23840e15ec5d3c6b68e895e1</t>
  </si>
  <si>
    <t>6670366415d227317368aba44e100aeb</t>
  </si>
  <si>
    <t>SELECT count(*) FROM ip_scheduletask_monitor where 1=1 and RWMC LIKE ? and RWKSSJ &gt; ? and RWKSSJ &lt; ?</t>
  </si>
  <si>
    <t>ip_scheduletask_monitor</t>
  </si>
  <si>
    <t>611d9d2334ef47367407284377ed21ad</t>
  </si>
  <si>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</si>
  <si>
    <t>2e94f648caf299252f61f02091d1b600</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</si>
  <si>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t>
  </si>
  <si>
    <t>144f8389d3c530e0df0852f3970a7741</t>
  </si>
  <si>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when matched then update set sch.cashflow_time = b.cashflow_time, sch.credit_account = b.credit_account, sch.credit_account_name = b.credit_account_name, sch.debit_account = b.debit_account, sch.debit_account_name = b.debit_account_name, sch.product_id = nvl(sch.product_id,b.product_id), sch.account_type_id = nvl(sch.account_type_id,b.account_type_id), sch.balance_after = b.balance_after, sch.currency = b.currency, sch.transaction_code = b.transaction_code, sch.summary = b.summary, sch.message = b.message, sch.use_info = (DECODE(LENGTH(b.account_id), 18, b.remark, b.djsm)), sch.ba</t>
  </si>
  <si>
    <t>1ad49c4badd1435097b3126ba03c8389</t>
  </si>
  <si>
    <t>DELETE FROM DSFMX WHERE FILENAME = 'DSFMX0508.DBF' AND datadate = '20260508'</t>
  </si>
  <si>
    <t>dsfmx</t>
  </si>
  <si>
    <t>9d7e9c4861fee9a389873bb7071eb9df</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</si>
  <si>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t>
  </si>
  <si>
    <t>f8fa08ad1bcc55b878564b77cdc15e45</t>
  </si>
  <si>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order by z.UPDATED_AT asc, z.CREATED_AT asc ) row_ ) where rownum_ &gt; 0 and rownum_ &lt;= 10</t>
  </si>
  <si>
    <t>c334a9aad72384465e039d34e2745771</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</si>
  <si>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</si>
  <si>
    <t>089f58b2492f80c783419b03179ffbe9</t>
  </si>
  <si>
    <t>update settlement_cashflow_history s set s.product_id = ? where s.account_id = ? and s.cashflow_at &lt;= ? and s.product_id is null</t>
  </si>
  <si>
    <t>6409e4599b957f963650e3577d90fb35</t>
  </si>
  <si>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 CI.DELIVER_DATE1 between ? and ? ) union all select cc.DEAL_ID as DEAL_ID, to_char(cc.SETTLEMENT_amount) as INIT_SETTLE_AMOUNT, cc.SETTLEMENT_DATE as SETTLEMENT_DATE from CSBS_CONTRACT cc left join CRITICAL_MONITOR_SIGN cm on cc.instr_id = cm.RELATION_ID left join product p on cc.product_id = p.product_code</t>
  </si>
  <si>
    <t>e865fea8ba54de8b0088d2224e7e57bb</t>
  </si>
  <si>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</si>
  <si>
    <t>TRANS_INFO</t>
  </si>
  <si>
    <t>8ae169e51da4f07202116bd548f65b2d</t>
  </si>
  <si>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</si>
  <si>
    <t>d0a7fc9294d04bc838b87bca839a4b39</t>
  </si>
  <si>
    <t>44a13d76c3a45867d543c09d0f25d479</t>
  </si>
  <si>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</si>
  <si>
    <t>zctgzhye</t>
  </si>
  <si>
    <t>074ce355c14ed2da5e24c14c1ba1daaf</t>
  </si>
  <si>
    <t>SELECT count(1) FROM (SELECT I.INSTRUCTION_ID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LEFT JOIN PRODUCT P ON E.PRODUCT_ID = P.PRODUCT_ID WHERE E.PAYMENT_DATE BETWEEN to_date(?, 'yyyy/MM/dd') AND to_date(?, 'yyyy/MM/dd') AND E.PRODUCT_ID IS NOT NULL AND NVL(E.MANAGER_ID, P.MANAGER_ID) = ? AND regexp_substr(I.ACTION_STATUS, '[0-9]+') IS NOT NULL AND (E.INSTRUCTION_NUM IN (?, ?, ?)) UNION ALL SELECT I.INSTRUCTION_ID instructionId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WHERE E.PAYMENT_DATE BETWEEN to_date(?, 'yyyy/MM/dd') AND to_date(?, 'yyyy/MM/dd') AND E.PRODUCT_ID IS NULL AND E.MANAGER_ID = ? AND regexp_substr(I.ACTION_STATUS, '[0-9]+') IS NOT NULL AND (E.INSTRUCTION_NUM IN (?, ?, ?)) UNION ALL SELECT I.INSTRUCTION_ID FROM sa_qszl sa INNER JOIN INSTRUCTION_DISTINCT D ON D.SOURCE_ID = '8' AND D.BUSINESS_ID = SA.YXBS || SA.ZHMH || SA.CPDM INNER JOIN INSTRUCTION I ON D.INSTRUCTION_ID = I.INSTRUCTION_ID INNER JOIN PRODUCT P ON I.PRODUCT_ID = P.PRODUCT_ID WHERE sa.ZLRQ BETWEEN ? AND ? AND P.MANAGER_ID = ? AND regexp_substr(I.ACTION_STATUS, '[0-9]+') IS NOT NULL AND (sa.ZHMH IN (?, ?, ?)))</t>
  </si>
  <si>
    <t>3ed9678d718e5c7904cea1f465d5c86c</t>
  </si>
  <si>
    <t>47772723b2a105d739fc9b4a1b19ac5a</t>
  </si>
  <si>
    <t>d16f0238d558e6bf3b58a64c1ca9514d</t>
  </si>
  <si>
    <t>a0eb36b3689119559b0df2e24d60c001</t>
  </si>
  <si>
    <t>16c00c6b80aefda0bc019d66af1e91b6</t>
  </si>
  <si>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</si>
  <si>
    <t>dcc91faa11164ebeabd8dd254feeb2f1</t>
  </si>
  <si>
    <t>select count(1) from (SELECT cc.*, nvl(cc.SETTLEMENT_AMOUNT, 0) AS ccAmount, NVL(cc.OWNER_STATUS, cc.CONTRACT_STATUS) AS ccOwnerStatus FROM CSBS_CONTRACT cc where 1=1 and ( cc.product_name like '%'||?||'%' or cc.product_name like '%'||?||'%' ) and (cc.SETTLEMENT_DATE &gt;=? or cc.finishdate &gt;=?) and (cc.SETTLEMENT_DATE &lt;=? or cc.finishdate &lt;=?) ) cc left join bank_account ba on cc.BANK_ACCOUNT_ID = ba.bank_account_id where 1=1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 SELECT IP.YHBH FROM sad_bow sb, ip_staff_stmt ip WHERE ip.yhbh = ? AND sb.effectstatus = '1' AND ip.ssjg = sb.branchid AND sb.borwlist = '1' AND sb.account_id = cc.bank_account_id ) ) OR(cc.BANK_ACCOUNT_ID IS NOT NULL and exists ( SELECT ip.yhbh FROM ip_staff ip WHERE ip.yhbh=? and ip.ssjg =ba.ind_branchid )) OR (cc.PRODUCT_ID IS NOT NULL and cc.PRODUCT_ID IN ( select p1.PRODUCT_CODE FROM product p1,ip_staff ips WHERE p1.OPERATION_MODE = '1' and p1.OPD_BRANCHID = ips.ssjg and ips.ssjg = 'G00017713' and ips.yhbh=? UNION all select p1.PRODUCT_CODE FROM product p1,ip_staff ips WHERE ips.yhbh=? and p1.OPERATION_MODE = '2' and (p1.OPD_BRANCHID = ips.ssjg or p1.IND_BRANCHID = ips.ssjg) UNION all select PRODUCT_CODE from product p1 WHERE (SELECT to_char(wm_concat(bia.authorize_institution)) FROM BRANCH_INSTR_AUTH bia,ip_staff ips WHERE ips.yhbh=? and bia.effect_status = '1' and bia.authorized_institution like '%'||ips.ssjg||'%' ) like '%'||p1.OPD_BRANCHID||'%' and</t>
  </si>
  <si>
    <t>dc3707993d048b5fb3be357600f91f02</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</si>
  <si>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t>
  </si>
  <si>
    <t>64b0d69ae22945280e17a7de1380f1f8</t>
  </si>
  <si>
    <t>a3d5bf4e3a56722340aa2f79af0c6176</t>
  </si>
  <si>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</si>
  <si>
    <t>3f81ac2fb0149f6eec63b96be279d0c3</t>
  </si>
  <si>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</si>
  <si>
    <t>9d57177251945296d8a130cefb554ed0</t>
  </si>
  <si>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</si>
  <si>
    <t>d904d4d344acadc934f4c1218cef4f62</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</si>
  <si>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 , ? , ? , ? ) and i.payment_at &gt;= to_date(?,'yyyy/MM/dd') and i.payment_at &lt;= to_date(?,'yyyy/MM/dd') uni</t>
  </si>
  <si>
    <t>ad2e97a57b3c0722d429355a7a967ef9</t>
  </si>
  <si>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</si>
  <si>
    <t>b8db287f49ff1990d2283176d83266f9</t>
  </si>
  <si>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</si>
  <si>
    <t>cecdd2057b93283ad24bcc78eb1be5b7</t>
  </si>
  <si>
    <t>{call pkg_Zjqdkz.generateData (?) }</t>
  </si>
  <si>
    <t>Max_Acnt_Limit_Appay</t>
  </si>
  <si>
    <t>存储过程，涉及多条sql执行</t>
  </si>
  <si>
    <t>b3facf9ee001597dc70ecebb25d2a923</t>
  </si>
  <si>
    <t>3989845e9309c6baeb5485832c758718</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</si>
  <si>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and i.payment_at &gt;= to_date(?,'yyyy/MM/dd') and i.payment_at &lt;= to_date(?,'yyyy/MM/dd') union all select p.product_code cpdm, case when (select ba.account_type_id from bank_account ba</t>
  </si>
  <si>
    <t>a744ea293a1fa7de220effb98d1bba59</t>
  </si>
  <si>
    <t>DELETE FROM INSTRUCTION I WHERE I.TRADE_TYPE = '1' AND I.SOURCE_ID = '3' AND I.CSDS_BUSINESS_TYPE = ? AND TO_CHAR(I.PAYMENT_DATE,'yyyy/mm/dd')=? AND I.PAYMENT_TYPE_ID=? AND i.action_status in ('0', '2', '3', '4') AND NOT EXISTS(SELECT 1 FROM FILEDATA_SJCL FS WHERE FS.INSTRUCTION_ID = I.INSTRUCTION_ID)</t>
  </si>
  <si>
    <t>f5fbadc478cc122f0d550f211e035a2d</t>
  </si>
  <si>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 ? , ? , ? , ? , ? , ? , ? , ? , ? , ? , ? , ? , ? , ? , ? , ? , ?</t>
  </si>
  <si>
    <t>7eb67c7779d06f6b84bcd39942f7cab3</t>
  </si>
  <si>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</si>
  <si>
    <t>ba6ed613d8bffd7bcb7e6d3fa0766e8d</t>
  </si>
  <si>
    <t>delete from instruction ii where instruction_id in ( ? , ? , ? , ? , ? , ? , ? , ? , ? , ? , ? , ? , ? , ? , ? , ? , ? , ? , ? , ? , ? , ? , ? , ? , ? , ? , ? , ? , ? , ? , ? , ? , ? , ? , ? , ? , ? , ? , ? , ? , ? , ? , ? , ? , ? , ? , ? , ? , ? , ? , ? , ? , ? , ? , ? , ? , ? , ? , ? , ? , ? , ? , ? , ? , ? , ? , ? , ? , ? , ? , ? , ? , ? , ?</t>
  </si>
  <si>
    <t>d4cb82fd6e1d8fddd81c49bef3e6430c</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</si>
  <si>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 , ? , ? , ? , ? , ? , ? , ? , ? ) and</t>
  </si>
  <si>
    <t>ef678b89ce11cb09a7ad99f39fd954d4</t>
  </si>
  <si>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union SELECT 1 FROM DUAL WHERE 1=1 AND CCA.PRODUCT_ID = ? AND CCA.ACCOUNT_ID = ? union SELECT 1 FROM DUAL WHERE 1=1 AND CCA.PRODUCT_ID = ? AND CCA.ACCOUNT_ID = ? union SELECT 1 FROM DUAL WHERE 1=1 AND CCA.PRODUCT_ID = ? AND CCA.ACCOUNT_ID = ? union SELECT 1 FROM DUAL WHERE 1=1 AND CCA.PRODUCT_ID = ? AND CCA.ACCOUNT_ID = ? union SELECT 1 FROM DUAL WHERE 1=1 AND CCA.PRODUCT_ID = ? AND CCA.ACCOUNT_ID = ? union SELECT 1 FROM DUAL WHERE 1=1 AND CCA.PRODUCT_ID = ? union SELECT 1 FROM DUAL WHERE 1=1 AND CCA.PRODUCT_ID = ? AND CCA.ACCOUNT_ID = ? union SELECT 1 FROM DUAL WHERE 1=1 AND CCA.PRODUCT_ID = ? AND CCA.ACCOUNT_ID = ? union SELECT 1 FROM DUAL WHERE 1=1 AND CCA.PRODUCT_ID = ? AND CCA.ACCOUNT_ID = ? union SELECT 1 FROM DUAL WHERE 1=1 AND CCA.PRODUCT_ID = ? AND CCA.ACCOUNT_ID = ?</t>
  </si>
  <si>
    <t>0b6d41265c6b840cee4a86e7940ea729</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</si>
  <si>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 , ? , ? , ? , ? , ? , ? , ? , ? , ?</t>
  </si>
  <si>
    <t>bd15a26ec499c8ba9fed2fc16b1c7cc6</t>
  </si>
  <si>
    <t>select * from ( select row_.*, rownum as rownum_ from ( SELECT y.*, b.external_agency_name AS managerName, e.dedicated, e.currency, i.account_type_id AS accountType, i.account_type_name AS creditAccountType, to_date(j.working_date, 'yyyyMMdd') AS workingAt FROM (SELECT z.INSTRUCTION_ID, z.product_id, z.payment_date, z.payment_at, z.direction, z.amount, z.payment_reason, z.credit_account, z.credit_account_name, z.debit_account, z.debit_account_name, z.bank_id, z.bank_name, z.action_status, z.concentrate_status, z.source_id, z.message, z.created_at, z.updated_at, a.manager_id, a.product_name AS productName, a.operation_mode AS operationMode, m.jgmc AS opdName, c.account_type_id AS creditTypeId, d.bank_account_id AS accountId, f.yhmc AS createdByName, g.yhmc AS updatedByName, h.payment_type_id AS paymentTypeId, h.payment_type_name AS paymentTypeName FROM instruction z LEFT JOIN product a ON z.product_id = a.product_id AND a.sub_group_mark = '1' LEFT JOIN bank_account c ON z.credit_account = c.bank_account_id AND c.account_attribute = '0' LEFT JOIN account_product d ON z.product_id = d.product_id AND d.bank_account_id = z.credit_account AND d.effectstatus = '1' LEFT JOIN ip_staff f ON z.created_by = f.yhbh LEFT JOIN ip_staff g ON z.updated_by = g.yhbh LEFT JOIN ip_unit_stmt m ON m.zj = a.opd_branchid LEFT JOIN payment_type h ON z.payment_type_id = h.payment_type_id AND z.payment_status = '3' AND z.direction = '1') y LEFT JOIN external_agency b ON b.external_agency_id = manager_id AND b.effectstatus = '1' LEFT JOIN bank_account e ON e.bank_account_id = accountId AND e.dedicated = '0' LEFT JOIN account_type i ON i.account_type_id = creditTypeId AND i.effectstatus = '1' LEFT JOIN shared_account_working_date j ON y.accountId = j.bank_account_id WHERE 1 = 1 AND y.action_status IN ('15', '12', '10', '13') AND PRODUCT_ID IN (SELECT bb.PRODUCT_ID FROM product bb WHERE bb.IND_BRANCHID IN (SELECT uib.branchid FROM user_info_branch uib WHERE uib.userid = ? AND uib.EFFECTSTATUS = '</t>
  </si>
  <si>
    <t>40ad8372cabfac532938d052b06cdcb2</t>
  </si>
  <si>
    <t>SELECT s.param_value FROM Sysparam s WHERE s.sysparam_type = ? AND s.param_name = ?</t>
  </si>
  <si>
    <t>4a50767326dcae5ceabc34024d3c3377</t>
  </si>
  <si>
    <t>a2df0bd3d073d64bf3943499afb22615</t>
  </si>
  <si>
    <t>4fd71542d2bde81f516601299d648e12</t>
  </si>
  <si>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order by z.UPDATED_AT asc, z.CREATED_AT asc ) row_ ) where rownum_ &gt; 10 and rownum_ &lt;= 20</t>
  </si>
  <si>
    <t>2bb3b16e0c6d8d725b77ad8742ae75f9</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</si>
  <si>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t>
  </si>
  <si>
    <t>7d826b7a88bf566a5de6c513d2e1f0dc</t>
  </si>
  <si>
    <t>eb08a528ecc153b72a3356179d34cdf0</t>
  </si>
  <si>
    <t>4bdb6e468bb049b8412b6a57f23074d1</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</si>
  <si>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t>
  </si>
  <si>
    <t>3df633f4bae974d643ce6d8776214f62</t>
  </si>
  <si>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order by z.UPDATED_AT asc, z.CREATED_AT asc ) row_ ) where rownum_ &gt; 710 and rownum_ &lt;= 720</t>
  </si>
  <si>
    <t>ad7ff2b28edd413953e5b237fc4ce44f</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</si>
  <si>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t>
  </si>
  <si>
    <t>59c9bd934824c8063d7a126c9a652514</t>
  </si>
  <si>
    <t>with Tablea as (select ap.product_id, ba.bank_account_id, ba.currency bz, ba.core_custodian_account tghbs, ba.account_type_id accounttypeid, sawd.working_date from account_product ap, bank_account ba, shared_account_working_date sawd where ba.effectstatus = '1' and ap.effectstatus = '1' and ap.bank_account_id = ba.bank_account_id and ba.bank_account_id = sawd.bank_account_id(+) union select aup.product_id, ba.bank_account_id, ba.currency bz, ba.core_custodian_account tghbs, ba.account_type_id accounttypeid, null from bank_account ba, auxiliary_product aup where ba.effectstatus = '1' and aup.effectstatus = '1' and aup.bank_account_id = ba.bank_account_id union select eba.product_id, eba.EXTERNAL_BANK_ACCOUNT_ID bank_account_id, eba.currency bz, null tghbs, eba.account_type_id accounttypeid, null from EXTERNAL_BANK_ACCOUNT eba where eba.effectstatus = '1' and eba.account_type_id = 'jwzjzh1'), InstructionBase as (select z.INSTRUCTION_ID, z.PRODUCT_ID, (SELECT PRODUCT_TYPE_ID FROM product WHERE PRODUCT_ID=z.PRODUCT_ID ) PRODUCT_TYPE_ID, (SELECT FILLING_STATUS FROM product WHERE PRODUCT_ID=z.PRODUCT_ID ) FILLING_STATUS, (SELECT pt.SJ_PAYMENT_TYPE_ID FROM payment_type pt WHERE pt.payment_type_id = (SELECT INSTRUCTION_PARAM_VALUE FROM INSTRUCTION_EXT ie WHERE ie.INSTRUCTION_ID = z.INSTRUCTION_ID and ie.INSTRUCTION_PARAM_NAME = 'hsgzzllx' ) ) SJ_PAYMENT_TYPE_ID,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t>
  </si>
  <si>
    <t>79d12e715d749dfc2fc9958f5cbf6cc0</t>
  </si>
  <si>
    <t>select FOI.FAX_INSTRUCTION_ID, FOI.INSTRUCTION_ID, FOI.FAX_ID, FOI.PAYMENT_DATE, FOI.PAYMENT_REASON, FOI.CREDIT_ACCOUNT, FOI.CREDIT_ACCOUNT_NAME, FOI.CREDIT_BANK_NAME, FOI.DEBIT_ACCOUNT, FOI.DEBIT_ACCOUNT_NAME, FOI.DEBIT_BANK_NAME, FOI.CASH_WORD, FOI.CASH_FIGURES from FAX_OCR_INFO FOI, FAX_INSTRUCTION FI WHERE FOI.FAX_INSTRUCTION_ID = FI.FAX_INSTRUCTION_ID and FI.INSTRUCTION_ID = ?</t>
  </si>
  <si>
    <t>c2f5dfd843c1841a273a4739046b700a</t>
  </si>
  <si>
    <t>SELECT wm_concat(isf.yhmc || decode(isf.dhhm || isf.kzzd1, null,'','+') || isf.dhhm || decode(isf.dhhm,null,'', '/') || isf.kzzd1) AS HSLXR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NOT EXISTS( SELECT 1 FROM AUTH_TRANSFER_PRODUCT WHERE ROLE_ID = PIB.ROLEID AND AUTH_TRANSFER_STATUS = '2' AND PRODUCT_ID = PIB.PRODUCT_ID AND PROVIDER_ID = PIB.USERID) ) HSYHS WHERE ISF.YHBH = HSYHS.USERID AND ISF.SSJG=IUS.ZJ AND ISF.effectstatus='1' group by HSYHS.PRODUCT_ID</t>
  </si>
  <si>
    <t>PRODUCT_INFO_BRANCH</t>
  </si>
  <si>
    <t>8df12c4b867e365921692e125bd77f24</t>
  </si>
  <si>
    <t>select * from ( select row_.*, rownum as rownum_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 as DEAL_ID,'1' RECORD_TYPE,z.RESULT_STATUS RECORD_STATUS,z.AUDIT_COMMENT, decode(nvl(INSTRUCTION_ID,''),?,'1','0') noteorder from FAX_INSTRUCTION z where 1=1 and PUSH_AT &gt;= trunc(to_date(?,'yyyy-mm-dd hh24:mi:ss')) and RESULT_STATUS='0' and exists ( select 1 from auxiliary_product ap left join product p on p.product_id = ap.product_id where ap.BANK_ACCOUNT_ID = ? and p.product_code = z.product_code and p.effectstatus = '1' and ap.effectstatus = '1' ) and RESULT_TYPE='2') fx ) row_ ) where rownum_ &gt; 0 and rownum_ &lt;= 10</t>
  </si>
  <si>
    <t>b34352dcf3f040dc80702b74eae0521d</t>
  </si>
  <si>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</si>
  <si>
    <t>e2e05b30a3433394b9df6b29b87302b6</t>
  </si>
  <si>
    <t>update instruction_sub set COUNTER_CASHFLOW=? where instruction_id=? and EFFECTIVE_STATUS='1'</t>
  </si>
  <si>
    <t>更新场内明细指令数量较多，在5000-10000条间，执行时间正常</t>
  </si>
  <si>
    <t>22790fe77645c8527d3e6c8752626ae9</t>
  </si>
  <si>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</si>
  <si>
    <t>11f8fd2487924e2158fa4a3d016f36c9</t>
  </si>
  <si>
    <t>select count(1) from instruction z where z.ACTION_STATUS not in ('0','3') and z.INSTRUCTION_ID != ? and z.DIRECTION = ? and z.AMOUNT = ? and z.CREDIT_ACCOUNT like '%' || ? || '%' and z.DEBIT_ACCOUNT like '%' || ? || '%' and z.PAYMENT_AT = ?</t>
  </si>
  <si>
    <t>23edcedb859ab1eabd1d673bb4fb4113</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</si>
  <si>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t>
  </si>
  <si>
    <t>dc682d996147a2202c46addb983d625e</t>
  </si>
  <si>
    <t>63813709b3387dfbd3091d711a692aa5</t>
  </si>
  <si>
    <t>select qp.*, (SELECT p.PRODUCT_CODE FROM product p WHERE p.effectstatus = '1' AND p.PRODUCT_ID = ?) AS PRODUCT_CODE from qhld_ins_verify_param qp WHERE qp.effectstatus = '1' AND exists (select pc.code_id from para_code pc where pc.para_key = qp.PRODUCT_ID and pkg_pub.get_containt_items(?,pc.code_id) is not null) and qp.PAYMENT_TYPE_ID = ? order by qp.validated_at desc</t>
  </si>
  <si>
    <t>2232ca455e2d9f9e8d19d476493ef459</t>
  </si>
  <si>
    <t>SELECT lm, sum(amount) amount, direction FROM (SELECT p.payment_type_name lm, i.amount, i.direction FROM instruction_sub i, payment_type p, product pp, instruction j WHERE i.payment_type_id = p.payment_type_id AND i.instruction_id = j.instruction_id AND pp.product_id = i.product_id AND p.payment_type_id &lt;&gt; 'QSCNDB' AND (i.trade_type = '0' OR p.sj_payment_type_id IN ('QSCN', 'QSZRTYW')) AND i.product_id = ? AND i.INSTRUCTION_AT &gt; to_date(?, 'yyyy/MM/dd') AND decode(i.direction, '0', i.credit_acct_type_id, '1', i.debit_acct_type_id) IN (SELECT account_type_id FROM account_type a WHERE a.sj_account_type_id = 'zhinityhzj0') UNION ALL SELECT p.payment_type_name lm, ii.amount, ii.direction FROM instruction ii, payment_type p, product pp WHERE ii.payment_type_id = p.payment_type_id AND pp.product_id = ii.product_id AND p.payment_type_id &lt;&gt; 'QSCNDB' AND (ii.trade_type = '0' OR p.sj_payment_type_id IN ('QSCN', 'QSZRTYW')) AND NOT EXISTS (SELECT 1 FROM etf_paymenttype_map epm WHERE ii.payment_type_id = epm.main_paymenttype_id AND epm.map_type = '1') AND ii.product_id = ? AND decode(ii.direction, '0', ii.credit_acct_type_id, '1', ii.debit_acct_type_id) IN (SELECT account_type_id FROM account_type a WHERE a.sj_account_type_id = 'zhinityhzj0') AND ii.payment_date &gt; to_date(?, 'yyyy/MM/dd') AND (ii.action_status IS NULL OR ii.action_status != '3') UNION ALL SELECT p.payment_type_name lm, ii.amount, ii.direction FROM instruction ii, payment_type p, product pp WHERE ii.payment_type_id = p.payment_type_id AND pp.product_id = ii.product_id AND p.sj_payment_type_id = 'TZCN' AND ii.product_id = ? AND decode(ii.direction, '0', ii.credit_acct_type_id, '1', ii.debit_acct_type_id) IN (SELECT account_type_id FROM account_type a WHERE a.sj_account_type_id = 'zhinityhzj0') AND ii.payment_date &gt; to_date(?, 'yyyy/MM/dd') AND ii.action_status IN ('7', '13', '14', '15', '16') AND (ii.p_instruction_id IS NULL OR ii.p_instruction_id &lt;&gt; '0')) a GROUP BY lm, direction</t>
  </si>
  <si>
    <t>f2d3d63725d1b71bafbe555ed465acb2</t>
  </si>
  <si>
    <t>select count(1) from (SELECT cc.*, nvl(cc.SETTLEMENT_AMOUNT, 0) AS ccAmount, NVL(cc.OWNER_STATUS, cc.CONTRACT_STATUS) AS ccOwnerStatus FROM CSBS_CONTRACT cc where 1=1 and (cc.SETTLEMENT_DATE &gt;=? or cc.finishdate &gt;=?) and (cc.SETTLEMENT_DATE &lt;=? or cc.finishdate &lt;=?) and (cc.DEAL_ID like '%'||?||'%' or (cc.market='0' and cc.INSTR_ID like '%'||?||'%')) ) cc left join bank_account ba on cc.BANK_ACCOUNT_ID = ba.bank_account_id where 1=1 and ( (cc.PRODUCT_ID IS NULL and cc.BANK_ACCOUNT_ID IS NULL) OR (cc.PRODUCT_ID IS NULL and cc.BANK_ACCOUNT_ID IS NOT NULL and exists ( SELECT IP.YHBH FROM ip_staff_stmt ip,SAD_CC S WHERE S.BRANCHID = ip.ssjg AND ip.yhbh = ? AND S.RANGE IN ( SUBSTR( cc.bank_account_id,0,2), SUBSTR( cc.bank_account_id,0,5) ) UNION ALL SELECT IP.YHBH FROM sad_bow sb, ip_staff_stmt ip WHERE ip.yhbh = ? AND sb.effectstatus = '1' AND ip.ssjg = sb.branchid AND sb.borwlist = '1' AND sb.account_id = cc.bank_account_id ) ) OR(cc.BANK_ACCOUNT_ID IS NOT NULL and exists ( SELECT ip.yhbh FROM ip_staff ip WHERE ip.yhbh=? and ip.ssjg =ba.ind_branchid )) OR (cc.PRODUCT_ID IS NOT NULL and cc.PRODUCT_ID IN ( select p1.PRODUCT_CODE FROM product p1,ip_staff ips WHERE p1.OPERATION_MODE = '1' and p1.OPD_BRANCHID = ips.ssjg and ips.ssjg = 'G00017713' and ips.yhbh=? UNION all select p1.PRODUCT_CODE FROM product p1,ip_staff ips WHERE ips.yhbh=? and p1.OPERATION_MODE = '2' and (p1.OPD_BRANCHID = ips.ssjg or p1.IND_BRANCHID = ips.ssjg) UNION all select PRODUCT_CODE from product p1 WHERE (SELECT to_char(wm_concat(bia.authorize_institution)) FROM BRANCH_INSTR_AUTH bia,ip_staff ips WHERE ips.yhbh=? and bia.effect_status = '1' and bia.authorized_institution like '%'||ips.ssjg||'%' ) like '%'||p1.OPD_BRANCHID||'%' and p1.OPD_BRANCHI</t>
  </si>
  <si>
    <t>3c3b005bb97b3c9927e6a025aff53f27</t>
  </si>
  <si>
    <t>WITH a as ( select h.* from ( select nvl(to_char(sq.REVIEW_TIME,'yyyyMMdd'),ch.PL_DATE) as PL_DATE, nvl(sq.bond_code,ch.SECURITY_CODE) as SECURITY_CODE, nvl(to_char(sq.EXERCISE_APPLY_BEGIN_DAY,'yyyyMMdd') ,ch.RESALE_REG_BEG_AT) as RESALE_REG_BEG_AT, nvl(to_char(sq.EXERCISE_APPLY_CLOSING_DT,'yyyyMMdd') ,ch.RESALE_REG_END_AT) as RESALE_REG_END_AT, nvl(to_char(sq.EXERCISE_EXEC_DAY,'yyyyMMdd'),ch.EXERCISE_AT) as EXERCISE_AT, nvl(ch.EVENT_TYPE,'1') as EVENT_TYPE, ch.SECODE, ch.NUM_CODE, ch.CHANGE_SE_CODE, ch.OBJ_COMP_CODE, ch.DATA_DATE, (case when sq.bond_code is null then '0' else '1' end ) as bond_source, sq.bond_name from ( select * from chzqhs ch where ch.event_type IN( '1', '13') and CH.EXERCISE_AT = ? )ch full join ( select * from sqzqhs sq where sq.EXERCISE_EXEC_DAY = to_date(?,'yyyyMMdd') )sq on ch.security_code = sq.bond_code )h ), d as ( select sum(nvl(t.amount, 0))/10000 as ydjme, t.product_id, e.param_value zqdm from trade_base t left join trade_ext e on t.trade_id = e.trade_id inner join a on e.param_value = a.security_code where (((t.tran_type = 'SQHS' and t.INSTRUCTION_STATUS in ('1','2','3') AND t.jyzt IS NOT NULL) or (t.tran_type = 'SQHS' and t.realtime_status = '清算执行复核已完成' and t.jyzt IS NULL) ) or (t.tran_type = 'ZZHS' and t.INSTRUCTION_STATUS = 'CGSU')) and t.trade_date BETWEEN to_date(a.resale_reg_beg_at, 'yyyyMMdd') AND to_date(a.resale_reg_end_at, 'yyyyMMdd') +1-1/86400 group by t.product_id, e.param_value ) select count(*) from( select pro.product_code, pro.product_name</t>
  </si>
  <si>
    <t>trade_ext</t>
  </si>
  <si>
    <t>c29aa4a32ee1fd6df48bb143f1cc5225</t>
  </si>
  <si>
    <t>3edc0818f2a425491dce8c981a129e0b</t>
  </si>
  <si>
    <t>insert into TRUSTFEE_ARREARS_REPORT_HISTORY select TT.* from TRUSTFEE_ARREARS_REPORT TT WHERE TT.SETTLEMENT_STATUS = '1' or (TT.IS_PAYMENT_DATE_UNKNOWN = '1' AND TT.PAYMENT_FREQUENCY = '4' AND EXISTS(SELECT 1 FROM TRUSTFEE_ARREARS_DETAIL_REPORT T1 WHERE T1.REPORT_ID = TT.PK_ID AND T1.AGING = '0' ) )</t>
  </si>
  <si>
    <t>TRUSTFEE_ARREARS_DETAIL_REPORT</t>
  </si>
  <si>
    <t>99dd40ba0434c0c1bb63327334ccb9f7</t>
  </si>
  <si>
    <t>select * from (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t>
  </si>
  <si>
    <t>61930b92baa2ef84a03596b7fe858800</t>
  </si>
  <si>
    <t>select * from ( select row_.*, rownum as rownum_ from ( SELECT * FROM ip_scheduletask_monitor where 1=1 and RWKSSJ &gt; ? and RWKSSJ &lt; ? order by RWKSSJ desc ) row_ ) where rownum_ &gt; 0 and rownum_ &lt;= 10</t>
  </si>
  <si>
    <t>09d0eac1c273b6c6d474ae327de74b5f</t>
  </si>
  <si>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</si>
  <si>
    <t>69c9d52f85cbcbd2733f03aa767f379f</t>
  </si>
  <si>
    <t>6885b15e5c42380d87b3a612c3dbab41</t>
  </si>
  <si>
    <t>select p.product_code cpdm,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</si>
  <si>
    <t>ab00284e6f3a0fac9bc8f511bcc31007</t>
  </si>
  <si>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</si>
  <si>
    <t>c32cac7a163369438eef642dd8a1e67d</t>
  </si>
  <si>
    <t>select * from ( select row_.*, rownum as rownum_ from ( with Tablea as (select ap.product_id, ba.bank_account_id, ba.currency bz, ba.core_custodian_account tghbs, ba.account_type_id accounttypeid, sawd.working_date from account_product ap, bank_account ba, shared_account_working_date sawd where ba.effectstatus = '1' and ap.effectstatus = '1' and ap.bank_account_id = ba.bank_account_id and ba.bank_account_id = sawd.bank_account_id(+) union select aup.product_id, ba.bank_account_id, ba.currency bz, ba.core_custodian_account tghbs, ba.account_type_id accounttypeid, null from bank_account ba, auxiliary_product aup where ba.effectstatus = '1' and aup.effectstatus = '1' and aup.bank_account_id = ba.bank_account_id union select eba.product_id, eba.EXTERNAL_BANK_ACCOUNT_ID bank_account_id, eba.currency bz, null tghbs, eba.account_type_id accounttypeid, null from EXTERNAL_BANK_ACCOUNT eba where eba.effectstatus = '1' and eba.account_type_id = 'jwzjzh1'), InstructionBase as (select z.INSTRUCTION_ID, z.PRODUCT_ID, (SELECT PRODUCT_TYPE_ID FROM product WHERE PRODUCT_ID=z.PRODUCT_ID ) PRODUCT_TYPE_ID, (SELECT FILLING_STATUS FROM product WHERE PRODUCT_ID=z.PRODUCT_ID ) FILLING_STATUS, (SELECT pt.SJ_PAYMENT_TYPE_ID FROM payment_type pt WHERE pt.payment_type_id = (SELECT INSTRUCTION_PARAM_VALUE FROM INSTRUCTION_EXT ie WHERE ie.INSTRUCTION_ID = z.INSTRUCTION_ID and ie.INSTRUCTION_PARAM_NAME = 'hsgzzllx' ) ) SJ_PAYMENT_TYPE_ID,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t>
  </si>
  <si>
    <t>b6940a6e6ef32f119baec68a6a6a9a9a</t>
  </si>
  <si>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t>
  </si>
  <si>
    <t>c6acf21b2d9c5cfb26d607c2547187ce</t>
  </si>
  <si>
    <t>48fad36a43e87de359f3b28e3dc68294</t>
  </si>
  <si>
    <t>select sch.CASHFLOW_ID cashflowId, NULL managerProd, NULL productCode, sch.account_type_id accountTypeId, (SELECT AT.ACCOUNT_TYPE_NAME FROM ACCOUNT_TYPE AT WHERE AT.ACCOUNT_TYPE_ID = sch.account_type_id) accountTypeName, sch.cashflow_at cashflowAt, sch.cashflow_time cashflowTime, sch.credit_account creditAccount, sch.credit_account_name creditAccountName, sch.debit_account debitAccount, sch.debit_account_name debitAccountName, sch.direction direction, sch.amount amount, sch.balance_after balanceAfter, sch.currency currency, (SELECT zydhb.zydh||'-'||zydhb.zymc FROM ZYDHB zydhb WHERE zydhb.effectstatus='1' AND zydhb.zydh = sch.summary) SUMMARY, sch.message message, sch.use_info userInfo, sch.bank_no bankNo, sch.bank_name bankName, u.manager_id managerId, sch.counter_cashflow counterCashflow, sch.REMARK xtsjc from settlement_cashflow_history sch,unuse_acct_inf u where sch.account_id = u.bank_account_id and sch.account_type_id in ('zhinityhzj2','MZH','ZZH') and u.manager_id is not null and sch.cashflow_at between trunc(sysdate)-4 and trunc(sysdate)- 1 / 86400 and sch.product_id is null and (NOT EXISTS (SELECT 1 FROM CASHFLOW_SYNCHRONIZED_STATUS C WHERE C.CASHFLOW_ID = sch.CASHFLOW_ID) OR EXISTS (SELECT 1 FROM CASHFLOW_SYNCHRONIZED_STATUS C WHERE C.CASHFLOW_ID = sch.CASHFLOW_ID AND C.STATUS = '1' AND COUNT &lt; ? ))</t>
  </si>
  <si>
    <t>20f0cf13b3c0da06c209217e40b8315d</t>
  </si>
  <si>
    <t>4762fb7e36e42d1b3753a7e2dbfc1a52</t>
  </si>
  <si>
    <t>46ce8d8853b702bd0bd9f1143a9dc2b5</t>
  </si>
  <si>
    <t>SELECT count(1) FROM (SELECT I.INSTRUCTION_ID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LEFT JOIN PRODUCT P ON E.PRODUCT_ID = P.PRODUCT_ID WHERE E.PAYMENT_DATE BETWEEN to_date(?, 'yyyy/MM/dd') AND to_date(?, 'yyyy/MM/dd') AND E.PRODUCT_ID IS NOT NULL AND NVL(E.MANAGER_ID, P.MANAGER_ID) = ? AND regexp_substr(I.ACTION_STATUS, '[0-9]+') IS NOT NULL AND (E.INSTRUCTION_NUM IN (?, ?, ?, ?)) UNION ALL SELECT I.INSTRUCTION_ID instructionId FROM EC_INSTRUCTION E INNER JOIN INSTRUCTION_DISTINCT D ON D.SOURCE_ID = '2' AND D.BUSINESS_ID = decode(E.INSTRUCTION_MODEL, '0', E.manager_id || E.instruction_num || E.GENERATE, '2', E.manager_id || E.instruction_num || E.GENERATE, E.product_code || E.instruction_num || E.GENERATE) INNER JOIN INSTRUCTION I ON D.INSTRUCTION_ID = I.INSTRUCTION_ID WHERE E.PAYMENT_DATE BETWEEN to_date(?, 'yyyy/MM/dd') AND to_date(?, 'yyyy/MM/dd') AND E.PRODUCT_ID IS NULL AND E.MANAGER_ID = ? AND regexp_substr(I.ACTION_STATUS, '[0-9]+') IS NOT NULL AND (E.INSTRUCTION_NUM IN (?, ?, ?, ?)) UNION ALL SELECT I.INSTRUCTION_ID FROM sa_qszl sa INNER JOIN INSTRUCTION_DISTINCT D ON D.SOURCE_ID = '8' AND D.BUSINESS_ID = SA.YXBS || SA.ZHMH || SA.CPDM INNER JOIN INSTRUCTION I ON D.INSTRUCTION_ID = I.INSTRUCTION_ID INNER JOIN PRODUCT P ON I.PRODUCT_ID = P.PRODUCT_ID WHERE sa.ZLRQ BETWEEN ? AND ? AND P.MANAGER_ID = ? AND regexp_substr(I.ACTION_STATUS, '[0-9]+') IS NOT NULL AND (sa.ZHMH IN (?, ?, ?, ?)))</t>
  </si>
  <si>
    <t>daca8dbaa5d35ca4929f52da22c2ee93</t>
  </si>
  <si>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</si>
  <si>
    <t>cd782cb6e9e44d5abbe275b73166b91b</t>
  </si>
  <si>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</si>
  <si>
    <t>1093d17c4db963ce4e49d9bcc14e80be</t>
  </si>
  <si>
    <t>zqerContractInfoInsert</t>
  </si>
  <si>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</si>
  <si>
    <t>中债合同表批量插入，可考虑限制单次插入数据量，</t>
  </si>
  <si>
    <t>d3de7710968a21f29a0799447425abac</t>
  </si>
  <si>
    <t>com.cib.settlement.csgl.directTransfer.dao.IDirectTransferInfoDao.findAllInfos</t>
  </si>
  <si>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</si>
  <si>
    <t>没有查询条件导致查询全表，可考虑添加必输项
para_code表生产数据量为1200万</t>
  </si>
  <si>
    <t>63e7d35df4f45f06fd41fbca29cc832b</t>
  </si>
  <si>
    <t>com.cib.settlement.csbs.settlement.dao.ICsbsSummaryStatementDao.findStatementShscAndCsbsCount</t>
  </si>
  <si>
    <t>select count(s.pk_id) from( select * from ( select cs.pk_id, pro.product_code, '1' as bond_market_type, pro.manager_prod, cs.bank_Account_id, CS.bond_id, CS.bond_short_name from CSBS_SUMMARY_STATEMENT cs left join product pro on pro.product_id = cs.product_id where 1=1 and (pro.effectstatus != '2' or cs.product_id is null) and cs.create_date &gt;= to_char(to_date(?,'yyyy-MM-dd'),'yyyy-MM-dd') and cs.create_date &lt;= to_char(to_date(?,'yyyy-MM-dd'),'yyyy-MM-dd') union all select ss.pk_id, pro.product_code, '0' as bond_market_type, pro.manager_prod, ss.bank_account_id, ss.bond_id, ss.bond_short_name from SHCH_SUMMARY_STATEMENT SS left join product pro on pro.product_id = ss.product_Id where 1=1 and (pro.effectstatus != '2' or ss.product_id is null) and ss.QUERY_DATE &gt;= ? and ss.QUERY_DATE &lt;= ? )t where 1=1 and( ( 1=1 and t.product_code = ? and t.bank_account_id = ? ) ) )s</t>
  </si>
  <si>
    <t>大表，有上亿的数据量，走的索引又是范围查询</t>
  </si>
  <si>
    <t>cf97805e676f916c3ca92088a2ea4f1d</t>
  </si>
  <si>
    <t>com.cib.settlement.hkgl.gjsdjk.dao.ICriticalJunctureMonitorDao.queryyhjjsInfoNew</t>
  </si>
  <si>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</si>
  <si>
    <t>原因:原SQL涉及4段拼接与排序，结构复杂，每段自子查询SQL的主表数据量为200万，CSBS_INSTRUCTION表数据量400万</t>
  </si>
  <si>
    <t>45373dadd424fbfeecfb23081fe9ae9f</t>
  </si>
  <si>
    <t>com.cib.settlement.csbs.contract.dao.ICsbsContractDao.findAllInfosCount3</t>
  </si>
  <si>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(CC.SETTLEMENT_DATE &gt;=? or CC.finishdate &gt;=?) and (CC.SETTLEMENT_DATE &lt;=? or CC.finishdate &lt;=?) and( ( 1=1 and pro.product_code = ? and cc.bank_account_id = ? and cc.market = ? ) ) )t</t>
  </si>
  <si>
    <t xml:space="preserve">
1.  查询关联4张表，3张表数据量都在200万左右。
2. 条件组合不正确导致索引不生效
3. 索引效率不高</t>
  </si>
  <si>
    <t>c020a010ae59431c29b1b9f8afa5c978</t>
  </si>
  <si>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</si>
  <si>
    <t>批量插入，考虑分批插入，并添加独立事务</t>
  </si>
  <si>
    <t>849514d1a8e8e6c7172c40613bf8b223</t>
  </si>
  <si>
    <t>com.cib.settlement.csgl.instrucsupervision.instrucsuppara.dao.IInstrucSupervisionMatchDao.getSupContentByCondition</t>
  </si>
  <si>
    <t>select a.SUP_CONTENT from ( SELECT Z.SUP_CONTENT from ( SELECT (case when i.SUP_SOURCE='1' or i.SUP_SOURCE='2' then 'a' else 'b' end ) as src, NVL(i.UPDATED_AT, i.CREATED_AT) as updateAt, i.SUP_SOURCE, i.SUP_CONTENT, i.PRODUCT_ID, i.PRODUCT_TYPE_ID, i.BRANCH_ID, i.MANAGER_ID, i.EFFECTSTATUS FROM INSTRUC_SUPERVISION_MATCH i WHERE i.EFFECTSTATUS = '1' AND EXISTS (SELECT 1 FROM para_code pc WHERE pc.para_key = i.PRODUCT_ID AND pc.code_id = ?) )Z order by Z.src,Z.updateAt desc) a where rownum=1</t>
  </si>
  <si>
    <t>索引效率不高</t>
  </si>
  <si>
    <t>事中监督表无索引，确认表数据量
para_code表生产数据量为1200万
针对para_code表，原索引IDX01_PARA_CODE效率不是最佳，可考虑创建新索引create index IDX02_PARA_CODE
    on PARA_CODE (CODE_ID,PARA_KEY)
/</t>
  </si>
  <si>
    <t>c88f14be1ba7b3b6daac534423b333b9</t>
  </si>
  <si>
    <t>com.cib.settlement.csbs.contract.dao.ICsbsContractDao.cancelCcdcSortSeq</t>
  </si>
  <si>
    <t>UPDATE CSBS_CONTRACT cc SET ORDER_SEQ = NULL WHERE cc.PRODUCT_ID = ?</t>
  </si>
  <si>
    <t>PRODUCT_ID存在索引，但不是最左匹配，是否可添加日期等条件限制，或单独对产品ID建立索引</t>
  </si>
  <si>
    <t>c4c283b1ec003d93c47a5ce4ef551524</t>
  </si>
  <si>
    <t>com.cib.settlement.csgl.qhld.dao.IMatchQhldCreateInstructionDao.getQhldParameter1</t>
  </si>
  <si>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</si>
  <si>
    <t>QHLD_PARAMETER表无索引，或查询不走索引。SQL涉及多段拼接，
建议：
1.para_code表数据量1200万，考虑添加具有针对性的索引保证查询效率</t>
  </si>
  <si>
    <t>716077cf41f0cee898188b66e56e2ae7</t>
  </si>
  <si>
    <t>com.cib.settlement.csgl.instrucsupervision.instrucsuppara.dao.IInstrucSupervisionMatchDao.checkExistedData</t>
  </si>
  <si>
    <t>select z.supervision_id, z.title, z.product_id, z.supervision_type, z.payment_type_id, z.sup_content, z.product_type_id from INSTRUC_SUPERVISION_MATCH z, para_code pc where z.effectstatus != '2' and Z.SUP_SOURCE in('1','2') and z.supervision_type = ? and z.product_id = pc.para_key and pc.code_id = ?</t>
  </si>
  <si>
    <t>b6e7d40cf9c2c393e4e4188f402cac9c</t>
  </si>
  <si>
    <t>com.cib.assets.settlement.account.dao.CashflowDaoImpl.getAccIdContainAllZzh</t>
  </si>
  <si>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</si>
  <si>
    <t>涉及对列进行函数操作
建议：添加针对性函数索引</t>
  </si>
  <si>
    <t>36a7fa4f4314e7dc4eca69c2afac90eb</t>
  </si>
  <si>
    <t>com.cib.settlement.hkgl.aiaudit.dao.IInstructionAiAuditResultDao.updateNew</t>
  </si>
  <si>
    <t>UPDATE INSTRUCTION_AI_AUDIT_RESULT SET AMOUNT = ?, PAYMENT_AT = ?, PAYMENT_TYPE_ID = ?, PRODUCT_ID = ?, UPDATED_AT = current_timestamp WHERE INSTRUCTION_ID = ?</t>
  </si>
  <si>
    <t>可能为锁等待，考虑添加独立事务</t>
  </si>
  <si>
    <t>2e871037018aa99f7ddb07328efd6444</t>
  </si>
  <si>
    <t>com.cib.settlement.csbs.chzqhs.dao.IChzqhsDao.saveShchBond2Temporary</t>
  </si>
  <si>
    <t>MERGE INTO SHCH_BOND2_TEMPORARY SBT USING( SELECT ? innerProductNo, ? holderAccount, ? bizDate, ? bondCode, ? bondName, ? balanceDirection, ? totalFlag, ? useBalance, ? freezeBalance, ? tobePayBalance, ? tobeBuyBalance, ? pledgeBalance, ? innerPledgeBalance, ? tobeRightBalance, ? totalBalance, ? tradeFrom FROM DUAL union all SELECT ? innerProductNo, ? holderAccount, ? bizDate, ? bondCode, ? bondName, ? balanceDirection, ? totalFlag, ? useBalance, ? freezeBalance, ? tobePayBalance, ? tobeBuyBalance, ? pledgeBalance, ? innerPledgeBalance, ? tobeRightBalance, ? totalBalance, ? tradeFrom FROM DUAL union all SELECT ? innerProductNo, ? holderAccount, ? bizDate, ? bondCode, ? bondName, ? balanceDirection, ? totalFlag, ? useBalance, ? freezeBalance, ? tobePayBalance, ? tobeBuyBalance, ? pledgeBalance, ? innerPledgeBalance, ? tobeRightBalance, ? totalBalance, ? tradeFrom FROM DUAL union all SELECT ? innerProductNo, ? holderAccount, ? bizDate, ? bondCode, ? bondName, ? balanceDirection,</t>
  </si>
  <si>
    <t>二级债券落地表批量保存数据
考虑分批次插入，减少单次插入的数量。</t>
  </si>
  <si>
    <t>62f1e10ab83ab067a967f1a12b39133e</t>
  </si>
  <si>
    <t>com.cib.settlement.hkgl.gjsdjk.dao.ICriticalJunctureMonitorDao.getFdbJyInfoOpt</t>
  </si>
  <si>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join (select pk_id,instr(filename,'jsmx03') as idx1 from JSMX) a on js.pk_id =a.pk_id LEFT JOIN SECURITY_ACCOUNT SA ON (JS.ZQZH = SA.ACCOUNT_CODE AND SA.EFFECTSTATUS = '1') LEFT JOIN CRITICAL_MONITOR_SIGN CM ON JS.PK_ID = CM.RELATION_ID WHERE JS.JYFS != '106' AND JS.JSFS = '002' and a.idx1 = 0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t>
  </si>
  <si>
    <t>1.上清结算明细表3600万数据，同时涉及自连接。
2.深交所结算明细600万数据，同时涉及自连接</t>
  </si>
  <si>
    <t>69f36fdf232cc281c2b716ad03bcf80a</t>
  </si>
  <si>
    <t>com.cib.settlement.hkgl.gjsdjk.dao.ICriticalJunctureMonitorDao.getFdbJyInfoCountOpt</t>
  </si>
  <si>
    <t>SELECT COUNT(1) FROM (SELECT JS.PK_ID AS PKID FROM JSMX JS join (select pk_id,instr(filename,'jsmx03') as idx1 from JSMX) a on js.pk_id =a.pk_id LEFT JOIN SECURITY_ACCOUNT SA ON (JS.ZQZH = SA.ACCOUNT_CODE AND SA.EFFECTSTATUS = '1') LEFT JOIN CRITICAL_MONITOR_SIGN CM ON JS.PK_ID = CM.RELATION_ID WHERE JS.JYFS != '106' AND JS.JSFS = '002' and a.idx1 = 0 AND JS.JSRQ &gt;= TO_CHAR(cast(? as timestamp), 'yyyyMMdd') AND JS.JSRQ &lt; TO_CHAR(cast(? as timestamp) + 1, 'yyyyMMdd') AND CM.OPD_CONFIRM_STATUS IS NULL UNION ALL SELECT JSZ.PK_ID AS PKID FROM SJSMX JSZ join (select pk_id,instr(filename,'SJSMX2') as idx1 from SJSMX) a on JSZ.pk_id =a.pk_id LEFT JOIN SECURITY_ACCOUNT SA ON (TRIM(JSZ.MXZQZH) = SA.ACCOUNT_CODE AND SA.EFFECTSTATUS = '1') LEFT JOIN CRITICAL_MONITOR_SIGN CM ON JSZ.PK_ID = CM.RELATION_ID WHERE JSZ.MXJSFS = 'N' AND JSZ.MXJSRQ &gt;= TO_CHAR(cast(? as timestamp), 'yyyyMMdd') AND JSZ.MXJSRQ &lt; TO_CHAR(cast(? as timestamp)+ 1, 'yyyyMMdd') and a.idx1 = 0 AND CM.OPD_CONFIRM_STATUS IS NULL )</t>
  </si>
  <si>
    <t>有索引，且走索引JSMX_JYFS_JSFS_1，但索引效率不高</t>
  </si>
  <si>
    <t>1a16831fa9d826ca730550c2cbdae1fd</t>
  </si>
  <si>
    <t>com.cib.settlement.csgl.yelszxqk.dao.YelsStatusDao.updateFlowFlag</t>
  </si>
  <si>
    <t>UPDATE CORE_CASHFLOW_ACCOUNT SET FLAG = ?, UPDATED_AT = sysdate, RZ_FLOW_COUNT = ? WHERE ACCOUNT_ID = ? AND CASHFLOW_AT = ?</t>
  </si>
  <si>
    <t>根据执行计划走复合索引（可以覆盖查询条件的字段）效率更好，但是看默认的执行计划走的并不是这个索引</t>
  </si>
  <si>
    <t>2f3ca42907e66ccd5ecdcfcb39179dfb</t>
  </si>
  <si>
    <t>com.cib.assets.settlement.account.dao.BalanceDaoImpl.getAccProListNew</t>
  </si>
  <si>
    <t>with ap as (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a.EFFECTSTATUS from ACCOUNT_PRODUCT a where a.product_id = ? AND a.bank_account_id = ? union all select a.BANK_ACCOUNT_ID bankAccountId, a.PRODUCT_ID productId, a</t>
  </si>
  <si>
    <t>1. 单次拼接的条件过多</t>
  </si>
  <si>
    <t>7446b7dbc5962e4a40ec492eb8aed8c0</t>
  </si>
  <si>
    <t>com.cib.settlement.csgl.instrucsupervision.instrucsuppara.dao.IInstrucSupervisionMatchDao.findPrimaryKeys</t>
  </si>
  <si>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100</t>
  </si>
  <si>
    <t>90b6986b0f5eb999b2333196380865c8</t>
  </si>
  <si>
    <t>com.cib.settlement.zhtx.zjzhwsx.dao.IUnuseAcctInfCiDao.selectUnuseAcctInf</t>
  </si>
  <si>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</si>
  <si>
    <t>查询的条件列没有任何索引，尝试添加索引</t>
  </si>
  <si>
    <t>7e97bc1d7040ba898d25aeae3f7d8fbf</t>
  </si>
  <si>
    <t>com.cib.settlement.common.frontcomponent.dao.IFrontCpDao.findAllBankAccInfosAndUnuseAcctInfNew</t>
  </si>
  <si>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</si>
  <si>
    <t>全表数据查询分页，且连接5张表，可以将左连接缩减成三个
建议：
1.ip_codeinfo连接改成子查询
2.可添加默认查询条件</t>
  </si>
  <si>
    <t>dc920658c42f6d5d2c92e2146235ed9f</t>
  </si>
  <si>
    <t>com.cib.settlement.zhtx.tgzhkhgl.dao.IAccountOpeningManagementDao.findAllInfos</t>
  </si>
  <si>
    <t>select * from ( select row_.*, rownum as rownum_ from ( select a.AOM_PK_ID,a.ACCOUNT_CODE,a.ACCOUNT_NAME,a.PRODUCT_CODE,a.TRUN_HANGING_FLAG,a.INTEREST_BEARING_FLAG,a.INTEREST_SETTLEMENT_FLAG,a.INTEREST_SETTLEMENT_STATUS, a.ACCOUNT_CANCELLATION_STATUS,ACCOUNT_INTEREST_RATES,a.CUSTOMER_CODE,a.OPEN_ACCOUNT_WAY,a.OPEN_ACCOUNT_HANDLE,a.STRAT_USING_HANDLE,a.ACCOUNT_CANCELLATION_HANDLE, a.INTEREST_SETTLEMEN_HANDLE,a.OPEN_ACCOUNT_BY,a.STRAT_USING_BY,a.ACCOUNT_CANCELLATIO_BY,a.INTEREST_SETTLEMENT_BY,a.START_USING_DATE,to_char(a.SUBMIT_DATA,'yyyy-mm-dd hh24:mi:ss') submit_Data,a.ACCOUNT_CANCELLATION_DATE,a.INTEREST_SETTLEMENT_DATE,a.STRAT_USING_STATUS,a.OPEN_ACCOUNT_STATUS,a.EFFECTSTATUS,a.OP_TYPE,a.ACCOUNT_OPENING_ORGANIZTION,a.SUBSIDIARY_ORGAN,a.CURRENY,a.SUBJECT_CODE,a.CARRY_OUT_THE_TRADE_MARK,a.INTEREST_RATE_CODE,a.IS_IT_CUSTODIAN,a.ACCOUTN_USE_TYPE,a.BIG_CHECK_FLAG,a.INTEREST_RATE_TYPE,a.REPRICING_CYCLE,a.FRIST_INTEREST_SETTLEMENT_DATE,a.BANKNOTE_FLGE, a.ACCOUNT_PROPERTY,a.CHECK_AT,a.CHECK_BY,a.CHECK_OPINION,a.CHECK_STATUS,a.CREATED_AT,a.CREATED_BY,a.UPDATED_AT,a.UPDATED_BY,a.REMARK,a.ACCOUNT_NAME_UPDATED, a.CREATED_NAME,a.UPDATED_NAME,a.check_name,a.OPEN_ACCOUNT_BY_NAME,a.STRAT_USING_BY_NAME,a.ACCOUNT_CANCELLATIO_BY_NAME,a.INTEREST_SETTLEMENT_BY_NAME,a.ISOPEN,OPEN_DATE,a.SETTLEMENT_ACCOUNT_TAG, a.OPEN_ACCOUNT_BY_NAME openAccountHandleName,a.STRAT_USING_BY_NAME stratUsingHandleName,a.ACCOUNT_CANCELLATIO_BY_NAME accountCancellationHandleName, a.INTEREST_SETTLEMENT_BY_NAME interestSettlemenHandleName,a.MANAGER_ID,a.PRODUCT_SETTLEMENT,a.PRODUCT_NAME,a.PROJECT_CODE, (select ea.external_agency_name from external_agency ea where manager_id = ea.EXTERNAL_AGENCY_ID and ea.EFFECTSTATUS = '1') MANAGER_NAME,(CASE OPEN_ACCOUNT_WAY WHEN '3' THEN (select FILE_NAME from file_inf t where t.belong_object_id = a.account_code) ELSE '' END) FILE_NOTES,(select FILE_PATH from file_inf t where t.belong_object_id = a.account_code) FILE_PATH, IS_SEND_EKP,b.KHRQ,b.ZXLL,b.AREA</t>
  </si>
  <si>
    <t>查询条件里的索引没有用上，唯一的索引列使用的like % v %导致索引失效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</si>
</sst>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宋体"/>
      <charset val="134"/>
      <scheme val="minor"/>
    </font>
    <font>
      <sz val="9.75"/>
      <color rgb="FF000000"/>
      <name val="宋体"/>
      <family val="3"/>
      <charset val="134"/>
      <scheme val="minor"/>
    </font>
    <font>
      <sz val="9.75"/>
      <color rgb="FFFF0000"/>
      <name val="宋体"/>
      <family val="3"/>
      <charset val="134"/>
      <scheme val="minor"/>
    </font>
    <font>
      <sz val="10"/>
      <color rgb="FF000000"/>
      <name val="等线"/>
      <family val="4"/>
      <charset val="134"/>
    </font>
    <font>
      <sz val="10.5"/>
      <color rgb="FF000000"/>
      <name val="宋体"/>
      <family val="3"/>
      <charset val="134"/>
      <scheme val="minor"/>
    </font>
    <font>
      <sz val="10"/>
      <color theme="1"/>
      <name val="等线"/>
      <family val="4"/>
      <charset val="134"/>
    </font>
    <font>
      <strike/>
      <sz val="9.75"/>
      <color rgb="FF000000"/>
      <name val="宋体"/>
      <family val="3"/>
      <charset val="134"/>
      <scheme val="minor"/>
    </font>
    <font>
      <strike/>
      <sz val="10.5"/>
      <color rgb="FF000000"/>
      <name val="宋体"/>
      <family val="3"/>
      <charset val="134"/>
      <scheme val="minor"/>
    </font>
    <font>
      <strike/>
      <sz val="10"/>
      <color theme="1"/>
      <name val="宋体"/>
      <family val="3"/>
      <charset val="134"/>
      <scheme val="minor"/>
    </font>
    <font>
      <strike/>
      <sz val="10"/>
      <color rgb="FF000000"/>
      <name val="等线"/>
      <family val="4"/>
      <charset val="134"/>
    </font>
    <font>
      <strike/>
      <sz val="11"/>
      <color rgb="FF000000"/>
      <name val="宋体"/>
      <family val="3"/>
      <charset val="134"/>
    </font>
    <font>
      <sz val="11"/>
      <color rgb="FF000000"/>
      <name val="宋体"/>
      <family val="3"/>
      <charset val="134"/>
    </font>
    <font>
      <sz val="11"/>
      <color rgb="FF000000"/>
      <name val="宋体"/>
      <family val="3"/>
      <charset val="134"/>
      <scheme val="minor"/>
    </font>
    <font>
      <sz val="11"/>
      <color rgb="FF000000"/>
      <name val="等线"/>
      <family val="4"/>
      <charset val="134"/>
    </font>
    <font>
      <i/>
      <sz val="9.75"/>
      <color rgb="FF000000"/>
      <name val="Calibri"/>
      <family val="2"/>
    </font>
    <font>
      <sz val="10"/>
      <name val="宋体"/>
      <family val="3"/>
      <charset val="134"/>
    </font>
    <font>
      <b/>
      <sz val="9"/>
      <name val="宋体"/>
      <family val="3"/>
      <charset val="134"/>
    </font>
    <font>
      <sz val="9"/>
      <name val="宋体"/>
      <family val="3"/>
      <charset val="134"/>
    </font>
    <font>
      <sz val="9"/>
      <name val="宋体"/>
      <family val="3"/>
      <charset val="134"/>
      <scheme val="minor"/>
    </font>
  </fonts>
  <fills count="6">
    <fill>
      <patternFill patternType="none"/>
    </fill>
    <fill>
      <patternFill patternType="gray125"/>
    </fill>
    <fill>
      <patternFill patternType="solid">
        <fgColor rgb="FFFAD355"/>
        <bgColor indexed="64"/>
      </patternFill>
    </fill>
    <fill>
      <patternFill patternType="solid">
        <fgColor rgb="FFAEAAAA"/>
        <bgColor indexed="64"/>
      </patternFill>
    </fill>
    <fill>
      <patternFill patternType="solid">
        <fgColor rgb="FFFCE4D6"/>
        <bgColor indexed="64"/>
      </patternFill>
    </fill>
    <fill>
      <patternFill patternType="solid">
        <fgColor rgb="FFFFF2CC"/>
        <bgColor indexed="64"/>
      </patternFill>
    </fill>
  </fills>
  <borders count="6">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60">
    <xf numFmtId="0" fontId="0" fillId="0" borderId="0" xfId="0">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2" xfId="0" applyFont="1" applyFill="1" applyBorder="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vertical="center" wrapText="1"/>
    </xf>
    <xf numFmtId="0" fontId="4" fillId="0" borderId="1" xfId="0" applyFont="1" applyBorder="1">
      <alignment vertical="center"/>
    </xf>
    <xf numFmtId="0" fontId="3" fillId="0" borderId="0" xfId="0" applyFont="1">
      <alignment vertical="center"/>
    </xf>
    <xf numFmtId="14" fontId="5" fillId="0" borderId="0" xfId="0" applyNumberFormat="1" applyFont="1">
      <alignment vertical="center"/>
    </xf>
    <xf numFmtId="14" fontId="3" fillId="0" borderId="0" xfId="0" applyNumberFormat="1" applyFont="1" applyAlignment="1">
      <alignment vertical="center" wrapText="1"/>
    </xf>
    <xf numFmtId="0" fontId="1" fillId="0" borderId="1" xfId="0" applyFont="1" applyBorder="1">
      <alignment vertical="center"/>
    </xf>
    <xf numFmtId="14" fontId="0" fillId="0" borderId="0" xfId="0" applyNumberFormat="1">
      <alignment vertical="center"/>
    </xf>
    <xf numFmtId="0" fontId="1" fillId="0" borderId="0" xfId="0" applyFont="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vertical="center" wrapText="1"/>
    </xf>
    <xf numFmtId="0" fontId="7" fillId="0" borderId="1" xfId="0" applyFont="1" applyBorder="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2" fillId="0" borderId="2" xfId="0" applyFont="1" applyBorder="1" applyAlignment="1">
      <alignment vertical="center" wrapText="1"/>
    </xf>
    <xf numFmtId="14" fontId="11" fillId="0" borderId="0" xfId="0" applyNumberFormat="1" applyFont="1">
      <alignment vertical="center"/>
    </xf>
    <xf numFmtId="0" fontId="10" fillId="3" borderId="0" xfId="0" applyFont="1" applyFill="1">
      <alignment vertical="center"/>
    </xf>
    <xf numFmtId="0" fontId="6" fillId="0" borderId="0" xfId="0" applyFont="1" applyAlignment="1">
      <alignment horizontal="left" vertical="center" wrapText="1"/>
    </xf>
    <xf numFmtId="14" fontId="11" fillId="0" borderId="0" xfId="0" applyNumberFormat="1" applyFont="1" applyAlignment="1">
      <alignment vertical="center" wrapText="1"/>
    </xf>
    <xf numFmtId="14" fontId="12" fillId="0" borderId="0" xfId="0" applyNumberFormat="1" applyFont="1">
      <alignment vertical="center"/>
    </xf>
    <xf numFmtId="0" fontId="4" fillId="0" borderId="2" xfId="0" applyFont="1" applyBorder="1" applyAlignment="1">
      <alignment vertical="center" wrapText="1"/>
    </xf>
    <xf numFmtId="0" fontId="13" fillId="4" borderId="0" xfId="0" applyFont="1" applyFill="1">
      <alignment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3" fillId="2" borderId="0" xfId="0" applyFont="1" applyFill="1" applyAlignment="1">
      <alignment vertical="center" wrapText="1"/>
    </xf>
    <xf numFmtId="0" fontId="3" fillId="2" borderId="3" xfId="0" applyFont="1" applyFill="1" applyBorder="1" applyAlignment="1">
      <alignment vertical="center" wrapText="1"/>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4" xfId="0" applyFont="1" applyBorder="1">
      <alignment vertical="center"/>
    </xf>
    <xf numFmtId="0" fontId="0" fillId="0" borderId="4" xfId="0" applyBorder="1">
      <alignment vertical="center"/>
    </xf>
    <xf numFmtId="0" fontId="3" fillId="0" borderId="4" xfId="0" applyFont="1" applyBorder="1">
      <alignment vertical="center"/>
    </xf>
    <xf numFmtId="0" fontId="1" fillId="0" borderId="4" xfId="0" applyFont="1" applyBorder="1" applyAlignment="1">
      <alignment horizontal="center" vertical="center"/>
    </xf>
    <xf numFmtId="0" fontId="1" fillId="5" borderId="4" xfId="0" applyFont="1" applyFill="1" applyBorder="1" applyAlignment="1">
      <alignment vertical="center" wrapText="1"/>
    </xf>
    <xf numFmtId="0" fontId="1" fillId="5" borderId="4" xfId="0" applyFont="1" applyFill="1" applyBorder="1" applyAlignment="1">
      <alignment horizontal="center" vertical="center" wrapText="1"/>
    </xf>
    <xf numFmtId="0" fontId="1" fillId="5" borderId="4" xfId="0" applyFont="1" applyFill="1" applyBorder="1" applyAlignment="1">
      <alignment horizontal="left" vertical="center" wrapText="1"/>
    </xf>
    <xf numFmtId="0" fontId="1" fillId="5" borderId="4" xfId="0" applyFont="1" applyFill="1" applyBorder="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lignment vertical="center"/>
    </xf>
    <xf numFmtId="0" fontId="1" fillId="2" borderId="4" xfId="0" applyFont="1" applyFill="1" applyBorder="1" applyAlignment="1">
      <alignmen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vertical="center" wrapText="1"/>
    </xf>
    <xf numFmtId="0" fontId="1" fillId="0" borderId="5" xfId="0" applyFont="1" applyBorder="1" applyAlignment="1">
      <alignment vertical="center" wrapText="1"/>
    </xf>
    <xf numFmtId="0" fontId="4" fillId="0" borderId="4" xfId="0" applyFont="1" applyBorder="1">
      <alignment vertical="center"/>
    </xf>
    <xf numFmtId="0" fontId="4" fillId="0" borderId="5"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91"/>
  <sheetViews>
    <sheetView tabSelected="1" zoomScale="83" workbookViewId="0">
      <selection activeCell="O7" sqref="O7"/>
    </sheetView>
  </sheetViews>
  <sheetFormatPr baseColWidth="10" defaultColWidth="9" defaultRowHeight="14"/>
  <cols>
    <col min="5" max="5" width="65.6640625" customWidth="1"/>
  </cols>
  <sheetData>
    <row r="1" spans="1:19" ht="25" customHeight="1">
      <c r="A1" s="1" t="s">
        <v>0</v>
      </c>
      <c r="B1" s="1" t="s">
        <v>1</v>
      </c>
      <c r="C1" s="1" t="s">
        <v>2</v>
      </c>
      <c r="D1" s="1" t="s">
        <v>3</v>
      </c>
      <c r="E1" s="1" t="s">
        <v>4</v>
      </c>
      <c r="F1" s="1" t="s">
        <v>5</v>
      </c>
      <c r="G1" s="1" t="s">
        <v>6</v>
      </c>
      <c r="H1" s="1" t="s">
        <v>7</v>
      </c>
      <c r="I1" s="2" t="s">
        <v>8</v>
      </c>
      <c r="J1" s="3" t="s">
        <v>9</v>
      </c>
      <c r="K1" s="3" t="s">
        <v>10</v>
      </c>
      <c r="L1" s="4" t="s">
        <v>11</v>
      </c>
      <c r="M1" s="1" t="s">
        <v>12</v>
      </c>
      <c r="N1" s="5" t="s">
        <v>13</v>
      </c>
      <c r="O1" s="5" t="s">
        <v>14</v>
      </c>
      <c r="P1" s="6" t="s">
        <v>15</v>
      </c>
      <c r="Q1" s="6" t="s">
        <v>16</v>
      </c>
      <c r="R1" s="6" t="s">
        <v>17</v>
      </c>
      <c r="S1" s="37" t="s">
        <v>223</v>
      </c>
    </row>
    <row r="2" spans="1:19" ht="25" customHeight="1">
      <c r="A2" s="7">
        <v>39</v>
      </c>
      <c r="B2" s="7" t="s">
        <v>18</v>
      </c>
      <c r="C2" s="7" t="s">
        <v>19</v>
      </c>
      <c r="D2" s="7"/>
      <c r="E2" s="7" t="s">
        <v>20</v>
      </c>
      <c r="F2" s="7">
        <v>19127</v>
      </c>
      <c r="G2" s="7">
        <v>258</v>
      </c>
      <c r="H2" s="7" t="s">
        <v>21</v>
      </c>
      <c r="I2" s="8" t="s">
        <v>22</v>
      </c>
      <c r="J2" s="9" t="s">
        <v>23</v>
      </c>
      <c r="K2" s="9" t="s">
        <v>24</v>
      </c>
      <c r="L2" s="10" t="s">
        <v>25</v>
      </c>
      <c r="M2" s="11" t="s">
        <v>26</v>
      </c>
      <c r="N2">
        <f t="shared" ref="N2:N65" si="0">SUM(F2/2000*G2)</f>
        <v>2467.3829999999998</v>
      </c>
      <c r="O2" s="12" t="s">
        <v>27</v>
      </c>
      <c r="P2" s="13">
        <v>46212</v>
      </c>
    </row>
    <row r="3" spans="1:19" ht="25" customHeight="1">
      <c r="A3" s="7">
        <v>279</v>
      </c>
      <c r="B3" s="7" t="s">
        <v>18</v>
      </c>
      <c r="C3" s="7" t="s">
        <v>28</v>
      </c>
      <c r="D3" s="7"/>
      <c r="E3" s="7" t="s">
        <v>29</v>
      </c>
      <c r="F3" s="7">
        <v>2260</v>
      </c>
      <c r="G3" s="7">
        <v>1828</v>
      </c>
      <c r="H3" s="7" t="s">
        <v>30</v>
      </c>
      <c r="I3" s="8" t="s">
        <v>22</v>
      </c>
      <c r="J3" s="9"/>
      <c r="K3" s="9" t="s">
        <v>31</v>
      </c>
      <c r="L3" s="10" t="s">
        <v>32</v>
      </c>
      <c r="M3" s="11" t="s">
        <v>33</v>
      </c>
      <c r="N3">
        <f t="shared" si="0"/>
        <v>2065.64</v>
      </c>
      <c r="O3" s="12" t="s">
        <v>27</v>
      </c>
      <c r="P3" s="14">
        <v>46198</v>
      </c>
      <c r="Q3" s="12" t="s">
        <v>34</v>
      </c>
    </row>
    <row r="4" spans="1:19" ht="25" customHeight="1">
      <c r="A4" s="7">
        <v>60</v>
      </c>
      <c r="B4" s="7" t="s">
        <v>18</v>
      </c>
      <c r="C4" s="7" t="s">
        <v>35</v>
      </c>
      <c r="D4" s="7"/>
      <c r="E4" s="7" t="s">
        <v>36</v>
      </c>
      <c r="F4" s="7">
        <v>10890</v>
      </c>
      <c r="G4" s="7">
        <v>161</v>
      </c>
      <c r="H4" s="7" t="s">
        <v>21</v>
      </c>
      <c r="I4" s="8" t="s">
        <v>22</v>
      </c>
      <c r="J4" s="9"/>
      <c r="K4" s="15" t="s">
        <v>37</v>
      </c>
      <c r="L4" s="10" t="s">
        <v>38</v>
      </c>
      <c r="M4" s="11"/>
      <c r="N4">
        <f t="shared" si="0"/>
        <v>876.64499999999998</v>
      </c>
      <c r="O4" s="12" t="s">
        <v>27</v>
      </c>
      <c r="P4" s="16"/>
      <c r="R4" s="12" t="s">
        <v>34</v>
      </c>
    </row>
    <row r="5" spans="1:19" ht="25" customHeight="1">
      <c r="A5" s="7">
        <v>261</v>
      </c>
      <c r="B5" s="7" t="s">
        <v>18</v>
      </c>
      <c r="C5" s="7" t="s">
        <v>39</v>
      </c>
      <c r="D5" s="7"/>
      <c r="E5" s="7" t="s">
        <v>40</v>
      </c>
      <c r="F5" s="7">
        <v>2424</v>
      </c>
      <c r="G5" s="7">
        <v>291</v>
      </c>
      <c r="H5" s="7" t="s">
        <v>30</v>
      </c>
      <c r="I5" s="8" t="s">
        <v>22</v>
      </c>
      <c r="J5" s="9"/>
      <c r="K5" s="17" t="s">
        <v>31</v>
      </c>
      <c r="L5" s="10" t="s">
        <v>32</v>
      </c>
      <c r="M5" s="11" t="s">
        <v>41</v>
      </c>
      <c r="N5">
        <f t="shared" si="0"/>
        <v>352.69200000000001</v>
      </c>
      <c r="O5" s="12" t="s">
        <v>27</v>
      </c>
      <c r="P5" s="14">
        <v>46198</v>
      </c>
      <c r="Q5" s="12" t="s">
        <v>34</v>
      </c>
    </row>
    <row r="6" spans="1:19" ht="25" customHeight="1">
      <c r="A6" s="7">
        <v>15</v>
      </c>
      <c r="B6" s="7" t="s">
        <v>18</v>
      </c>
      <c r="C6" s="7" t="s">
        <v>42</v>
      </c>
      <c r="D6" s="7"/>
      <c r="E6" s="7" t="s">
        <v>43</v>
      </c>
      <c r="F6" s="7">
        <v>37175</v>
      </c>
      <c r="G6" s="7">
        <v>9</v>
      </c>
      <c r="H6" s="7" t="s">
        <v>30</v>
      </c>
      <c r="I6" s="8" t="s">
        <v>22</v>
      </c>
      <c r="J6" s="9"/>
      <c r="K6" s="9" t="s">
        <v>37</v>
      </c>
      <c r="L6" s="10" t="s">
        <v>38</v>
      </c>
      <c r="M6" s="11"/>
      <c r="N6">
        <f t="shared" si="0"/>
        <v>167.28749999999999</v>
      </c>
      <c r="O6" s="12" t="s">
        <v>27</v>
      </c>
      <c r="P6" s="13">
        <v>46212</v>
      </c>
    </row>
    <row r="7" spans="1:19" ht="25" customHeight="1">
      <c r="A7" s="7">
        <v>157</v>
      </c>
      <c r="B7" s="7" t="s">
        <v>18</v>
      </c>
      <c r="C7" s="7" t="s">
        <v>44</v>
      </c>
      <c r="D7" s="7"/>
      <c r="E7" s="7" t="s">
        <v>45</v>
      </c>
      <c r="F7" s="7">
        <v>3714</v>
      </c>
      <c r="G7" s="7">
        <v>74</v>
      </c>
      <c r="H7" s="7" t="s">
        <v>21</v>
      </c>
      <c r="I7" s="8" t="s">
        <v>22</v>
      </c>
      <c r="J7" s="9"/>
      <c r="K7" s="9" t="s">
        <v>46</v>
      </c>
      <c r="L7" s="10" t="s">
        <v>47</v>
      </c>
      <c r="M7" s="11"/>
      <c r="N7">
        <f t="shared" si="0"/>
        <v>137.41800000000001</v>
      </c>
      <c r="O7" s="12" t="s">
        <v>27</v>
      </c>
      <c r="P7" s="14">
        <v>46198</v>
      </c>
      <c r="Q7" s="12" t="s">
        <v>34</v>
      </c>
    </row>
    <row r="8" spans="1:19" ht="25" customHeight="1">
      <c r="A8" s="7">
        <v>135</v>
      </c>
      <c r="B8" s="7" t="s">
        <v>18</v>
      </c>
      <c r="C8" s="7" t="s">
        <v>48</v>
      </c>
      <c r="D8" s="7"/>
      <c r="E8" s="7" t="s">
        <v>49</v>
      </c>
      <c r="F8" s="7">
        <v>4328</v>
      </c>
      <c r="G8" s="7">
        <v>56</v>
      </c>
      <c r="H8" s="7" t="s">
        <v>50</v>
      </c>
      <c r="I8" s="8" t="s">
        <v>22</v>
      </c>
      <c r="J8" s="9"/>
      <c r="K8" s="9" t="s">
        <v>37</v>
      </c>
      <c r="L8" s="10" t="s">
        <v>51</v>
      </c>
      <c r="M8" s="11"/>
      <c r="N8">
        <f t="shared" si="0"/>
        <v>121.184</v>
      </c>
      <c r="O8" s="12" t="s">
        <v>27</v>
      </c>
      <c r="P8" s="13">
        <v>46212</v>
      </c>
    </row>
    <row r="9" spans="1:19" ht="25" customHeight="1">
      <c r="A9" s="7">
        <v>96</v>
      </c>
      <c r="B9" s="7" t="s">
        <v>18</v>
      </c>
      <c r="C9" s="7" t="s">
        <v>52</v>
      </c>
      <c r="D9" s="7"/>
      <c r="E9" s="7" t="s">
        <v>53</v>
      </c>
      <c r="F9" s="7">
        <v>6838</v>
      </c>
      <c r="G9" s="7">
        <v>31</v>
      </c>
      <c r="H9" s="7" t="s">
        <v>30</v>
      </c>
      <c r="I9" s="8" t="s">
        <v>22</v>
      </c>
      <c r="J9" s="9" t="s">
        <v>54</v>
      </c>
      <c r="K9" s="9" t="s">
        <v>46</v>
      </c>
      <c r="L9" s="10" t="s">
        <v>55</v>
      </c>
      <c r="M9" s="11"/>
      <c r="N9">
        <f t="shared" si="0"/>
        <v>105.989</v>
      </c>
      <c r="O9" s="12" t="s">
        <v>27</v>
      </c>
      <c r="P9" s="14">
        <v>46198</v>
      </c>
      <c r="Q9" s="12" t="s">
        <v>34</v>
      </c>
    </row>
    <row r="10" spans="1:19" ht="25" customHeight="1">
      <c r="A10" s="7">
        <v>48</v>
      </c>
      <c r="B10" s="7" t="s">
        <v>18</v>
      </c>
      <c r="C10" s="7" t="s">
        <v>56</v>
      </c>
      <c r="D10" s="7"/>
      <c r="E10" s="7" t="s">
        <v>57</v>
      </c>
      <c r="F10" s="7">
        <v>14897</v>
      </c>
      <c r="G10" s="7">
        <v>12</v>
      </c>
      <c r="H10" s="7" t="s">
        <v>21</v>
      </c>
      <c r="I10" s="8" t="s">
        <v>22</v>
      </c>
      <c r="J10" s="9"/>
      <c r="K10" s="9" t="s">
        <v>37</v>
      </c>
      <c r="L10" s="10" t="s">
        <v>58</v>
      </c>
      <c r="M10" s="11"/>
      <c r="N10">
        <f t="shared" si="0"/>
        <v>89.382000000000005</v>
      </c>
      <c r="O10" s="12" t="s">
        <v>59</v>
      </c>
      <c r="P10" s="13">
        <v>46212</v>
      </c>
    </row>
    <row r="11" spans="1:19" ht="25" customHeight="1">
      <c r="A11" s="7">
        <v>17</v>
      </c>
      <c r="B11" s="7" t="s">
        <v>18</v>
      </c>
      <c r="C11" s="7" t="s">
        <v>60</v>
      </c>
      <c r="D11" s="7"/>
      <c r="E11" s="7" t="s">
        <v>61</v>
      </c>
      <c r="F11" s="7">
        <v>32236</v>
      </c>
      <c r="G11" s="7">
        <v>5</v>
      </c>
      <c r="H11" s="7" t="s">
        <v>21</v>
      </c>
      <c r="I11" s="8" t="s">
        <v>22</v>
      </c>
      <c r="J11" s="9"/>
      <c r="K11" s="9" t="s">
        <v>37</v>
      </c>
      <c r="L11" s="10" t="s">
        <v>38</v>
      </c>
      <c r="M11" s="11"/>
      <c r="N11">
        <f t="shared" si="0"/>
        <v>80.59</v>
      </c>
      <c r="O11" s="12" t="s">
        <v>59</v>
      </c>
      <c r="P11" s="13">
        <v>46212</v>
      </c>
      <c r="R11" s="12"/>
    </row>
    <row r="12" spans="1:19" ht="25" customHeight="1">
      <c r="A12" s="7">
        <v>13</v>
      </c>
      <c r="B12" s="7" t="s">
        <v>18</v>
      </c>
      <c r="C12" s="7" t="s">
        <v>62</v>
      </c>
      <c r="D12" s="7"/>
      <c r="E12" s="7" t="s">
        <v>63</v>
      </c>
      <c r="F12" s="7">
        <v>38194</v>
      </c>
      <c r="G12" s="7">
        <v>4</v>
      </c>
      <c r="H12" s="7" t="s">
        <v>50</v>
      </c>
      <c r="I12" s="8" t="s">
        <v>22</v>
      </c>
      <c r="J12" s="9"/>
      <c r="K12" s="15" t="s">
        <v>37</v>
      </c>
      <c r="L12" s="10" t="s">
        <v>64</v>
      </c>
      <c r="M12" s="11"/>
      <c r="N12">
        <f t="shared" si="0"/>
        <v>76.388000000000005</v>
      </c>
      <c r="O12" s="12" t="s">
        <v>59</v>
      </c>
      <c r="P12" s="13">
        <v>46212</v>
      </c>
    </row>
    <row r="13" spans="1:19" ht="25" customHeight="1">
      <c r="A13" s="7">
        <v>30</v>
      </c>
      <c r="B13" s="7" t="s">
        <v>18</v>
      </c>
      <c r="C13" s="7" t="s">
        <v>65</v>
      </c>
      <c r="D13" s="7"/>
      <c r="E13" s="7" t="s">
        <v>43</v>
      </c>
      <c r="F13" s="7">
        <v>24154</v>
      </c>
      <c r="G13" s="7">
        <v>6</v>
      </c>
      <c r="H13" s="7" t="s">
        <v>21</v>
      </c>
      <c r="I13" s="8" t="s">
        <v>22</v>
      </c>
      <c r="J13" s="9"/>
      <c r="K13" s="9" t="s">
        <v>37</v>
      </c>
      <c r="L13" s="10" t="s">
        <v>38</v>
      </c>
      <c r="M13" s="11"/>
      <c r="N13">
        <f t="shared" si="0"/>
        <v>72.462000000000003</v>
      </c>
      <c r="O13" s="12" t="s">
        <v>59</v>
      </c>
      <c r="P13" s="13"/>
      <c r="R13" s="12" t="s">
        <v>66</v>
      </c>
    </row>
    <row r="14" spans="1:19" ht="25" customHeight="1">
      <c r="A14" s="7">
        <v>22</v>
      </c>
      <c r="B14" s="7" t="s">
        <v>18</v>
      </c>
      <c r="C14" s="7" t="s">
        <v>67</v>
      </c>
      <c r="D14" s="7"/>
      <c r="E14" s="7" t="s">
        <v>61</v>
      </c>
      <c r="F14" s="7">
        <v>28715</v>
      </c>
      <c r="G14" s="7">
        <v>5</v>
      </c>
      <c r="H14" s="7" t="s">
        <v>30</v>
      </c>
      <c r="I14" s="8" t="s">
        <v>22</v>
      </c>
      <c r="J14" s="9"/>
      <c r="K14" s="9" t="s">
        <v>37</v>
      </c>
      <c r="L14" s="10" t="s">
        <v>38</v>
      </c>
      <c r="M14" s="11"/>
      <c r="N14">
        <f t="shared" si="0"/>
        <v>71.787499999999994</v>
      </c>
      <c r="O14" s="12" t="s">
        <v>59</v>
      </c>
      <c r="P14" s="13"/>
      <c r="R14" s="12" t="s">
        <v>66</v>
      </c>
    </row>
    <row r="15" spans="1:19" ht="25" customHeight="1">
      <c r="A15" s="7">
        <v>34</v>
      </c>
      <c r="B15" s="7" t="s">
        <v>18</v>
      </c>
      <c r="C15" s="7" t="s">
        <v>68</v>
      </c>
      <c r="D15" s="7"/>
      <c r="E15" s="7" t="s">
        <v>69</v>
      </c>
      <c r="F15" s="7">
        <v>21314</v>
      </c>
      <c r="G15" s="7">
        <v>6</v>
      </c>
      <c r="H15" s="7" t="s">
        <v>30</v>
      </c>
      <c r="I15" s="8" t="s">
        <v>22</v>
      </c>
      <c r="J15" s="9"/>
      <c r="K15" s="9" t="s">
        <v>37</v>
      </c>
      <c r="L15" s="10" t="s">
        <v>38</v>
      </c>
      <c r="M15" s="11"/>
      <c r="N15">
        <f t="shared" si="0"/>
        <v>63.942</v>
      </c>
      <c r="O15" s="12" t="s">
        <v>59</v>
      </c>
      <c r="P15" s="13">
        <v>46212</v>
      </c>
    </row>
    <row r="16" spans="1:19" ht="25" customHeight="1">
      <c r="A16" s="7">
        <v>8</v>
      </c>
      <c r="B16" s="7" t="s">
        <v>18</v>
      </c>
      <c r="C16" s="7" t="s">
        <v>70</v>
      </c>
      <c r="D16" s="7"/>
      <c r="E16" s="7" t="s">
        <v>71</v>
      </c>
      <c r="F16" s="7">
        <v>91742</v>
      </c>
      <c r="G16" s="7">
        <v>1</v>
      </c>
      <c r="H16" s="7" t="s">
        <v>50</v>
      </c>
      <c r="I16" s="8" t="s">
        <v>22</v>
      </c>
      <c r="J16" s="9"/>
      <c r="K16" s="9" t="s">
        <v>46</v>
      </c>
      <c r="L16" s="10" t="s">
        <v>72</v>
      </c>
      <c r="M16" s="11"/>
      <c r="N16">
        <f t="shared" si="0"/>
        <v>45.871000000000002</v>
      </c>
      <c r="O16" s="12" t="s">
        <v>59</v>
      </c>
      <c r="P16" s="14">
        <v>46198</v>
      </c>
      <c r="Q16" s="12" t="s">
        <v>73</v>
      </c>
      <c r="R16" s="12" t="s">
        <v>74</v>
      </c>
    </row>
    <row r="17" spans="1:18" ht="25" customHeight="1">
      <c r="A17" s="7">
        <v>110</v>
      </c>
      <c r="B17" s="7" t="s">
        <v>18</v>
      </c>
      <c r="C17" s="7" t="s">
        <v>75</v>
      </c>
      <c r="D17" s="7"/>
      <c r="E17" s="7" t="s">
        <v>76</v>
      </c>
      <c r="F17" s="7">
        <v>5728</v>
      </c>
      <c r="G17" s="7">
        <v>14</v>
      </c>
      <c r="H17" s="7" t="s">
        <v>30</v>
      </c>
      <c r="I17" s="8" t="s">
        <v>22</v>
      </c>
      <c r="J17" s="9"/>
      <c r="K17" s="9" t="s">
        <v>46</v>
      </c>
      <c r="L17" s="10" t="s">
        <v>77</v>
      </c>
      <c r="M17" s="11"/>
      <c r="N17">
        <f t="shared" si="0"/>
        <v>40.095999999999997</v>
      </c>
      <c r="O17" s="12" t="s">
        <v>59</v>
      </c>
      <c r="P17" s="14">
        <v>46198</v>
      </c>
      <c r="Q17" s="12" t="s">
        <v>34</v>
      </c>
    </row>
    <row r="18" spans="1:18" ht="25" customHeight="1">
      <c r="A18" s="7">
        <v>26</v>
      </c>
      <c r="B18" s="7" t="s">
        <v>18</v>
      </c>
      <c r="C18" s="7" t="s">
        <v>78</v>
      </c>
      <c r="D18" s="7"/>
      <c r="E18" s="7" t="s">
        <v>63</v>
      </c>
      <c r="F18" s="7">
        <v>26223</v>
      </c>
      <c r="G18" s="7">
        <v>3</v>
      </c>
      <c r="H18" s="7" t="s">
        <v>30</v>
      </c>
      <c r="I18" s="8" t="s">
        <v>22</v>
      </c>
      <c r="J18" s="9"/>
      <c r="K18" s="9" t="s">
        <v>37</v>
      </c>
      <c r="L18" s="10" t="s">
        <v>64</v>
      </c>
      <c r="M18" s="11"/>
      <c r="N18">
        <f t="shared" si="0"/>
        <v>39.334499999999998</v>
      </c>
      <c r="O18" s="12" t="s">
        <v>59</v>
      </c>
      <c r="P18" s="13"/>
      <c r="R18" s="12" t="s">
        <v>66</v>
      </c>
    </row>
    <row r="19" spans="1:18" ht="25" customHeight="1">
      <c r="A19" s="7">
        <v>128</v>
      </c>
      <c r="B19" s="7" t="s">
        <v>18</v>
      </c>
      <c r="C19" s="7" t="s">
        <v>79</v>
      </c>
      <c r="D19" s="7"/>
      <c r="E19" s="7" t="s">
        <v>80</v>
      </c>
      <c r="F19" s="7">
        <v>4591</v>
      </c>
      <c r="G19" s="7">
        <v>14</v>
      </c>
      <c r="H19" s="7" t="s">
        <v>81</v>
      </c>
      <c r="I19" s="8" t="s">
        <v>22</v>
      </c>
      <c r="J19" s="9"/>
      <c r="K19" s="9" t="s">
        <v>46</v>
      </c>
      <c r="L19" s="10" t="s">
        <v>82</v>
      </c>
      <c r="M19" s="11"/>
      <c r="N19">
        <f t="shared" si="0"/>
        <v>32.137</v>
      </c>
      <c r="O19" s="12" t="s">
        <v>59</v>
      </c>
      <c r="P19" s="14">
        <v>46198</v>
      </c>
      <c r="Q19" s="12" t="s">
        <v>34</v>
      </c>
    </row>
    <row r="20" spans="1:18" ht="25" customHeight="1">
      <c r="A20" s="7">
        <v>118</v>
      </c>
      <c r="B20" s="7" t="s">
        <v>18</v>
      </c>
      <c r="C20" s="7" t="s">
        <v>83</v>
      </c>
      <c r="D20" s="7"/>
      <c r="E20" s="7" t="s">
        <v>84</v>
      </c>
      <c r="F20" s="7">
        <v>5312</v>
      </c>
      <c r="G20" s="7">
        <v>12</v>
      </c>
      <c r="H20" s="7" t="s">
        <v>30</v>
      </c>
      <c r="I20" s="8" t="s">
        <v>22</v>
      </c>
      <c r="J20" s="9" t="s">
        <v>54</v>
      </c>
      <c r="K20" s="9" t="s">
        <v>46</v>
      </c>
      <c r="L20" s="10" t="s">
        <v>55</v>
      </c>
      <c r="M20" s="11"/>
      <c r="N20">
        <f t="shared" si="0"/>
        <v>31.872</v>
      </c>
      <c r="O20" s="12" t="s">
        <v>59</v>
      </c>
      <c r="P20" s="14">
        <v>46198</v>
      </c>
      <c r="Q20" s="12" t="s">
        <v>34</v>
      </c>
    </row>
    <row r="21" spans="1:18" ht="25" customHeight="1">
      <c r="A21" s="7">
        <v>120</v>
      </c>
      <c r="B21" s="7" t="s">
        <v>18</v>
      </c>
      <c r="C21" s="7" t="s">
        <v>85</v>
      </c>
      <c r="D21" s="7"/>
      <c r="E21" s="7" t="s">
        <v>86</v>
      </c>
      <c r="F21" s="7">
        <v>5022</v>
      </c>
      <c r="G21" s="7">
        <v>12</v>
      </c>
      <c r="H21" s="7" t="s">
        <v>21</v>
      </c>
      <c r="I21" s="8" t="s">
        <v>22</v>
      </c>
      <c r="J21" s="9"/>
      <c r="K21" s="9" t="s">
        <v>87</v>
      </c>
      <c r="L21" s="10" t="s">
        <v>88</v>
      </c>
      <c r="M21" s="11"/>
      <c r="N21">
        <f t="shared" si="0"/>
        <v>30.132000000000001</v>
      </c>
      <c r="O21" s="12" t="s">
        <v>59</v>
      </c>
    </row>
    <row r="22" spans="1:18" ht="25" customHeight="1">
      <c r="A22" s="18">
        <v>42</v>
      </c>
      <c r="B22" s="18" t="s">
        <v>18</v>
      </c>
      <c r="C22" s="18" t="s">
        <v>89</v>
      </c>
      <c r="D22" s="18"/>
      <c r="E22" s="18" t="s">
        <v>90</v>
      </c>
      <c r="F22" s="18">
        <v>17874</v>
      </c>
      <c r="G22" s="18">
        <v>3</v>
      </c>
      <c r="H22" s="18" t="s">
        <v>50</v>
      </c>
      <c r="I22" s="19" t="s">
        <v>22</v>
      </c>
      <c r="J22" s="20" t="s">
        <v>54</v>
      </c>
      <c r="K22" s="20" t="s">
        <v>46</v>
      </c>
      <c r="L22" s="21" t="s">
        <v>55</v>
      </c>
      <c r="M22" s="22"/>
      <c r="N22" s="23">
        <f t="shared" si="0"/>
        <v>26.811</v>
      </c>
      <c r="O22" s="24" t="s">
        <v>59</v>
      </c>
      <c r="R22" s="25" t="s">
        <v>66</v>
      </c>
    </row>
    <row r="23" spans="1:18" ht="25" customHeight="1">
      <c r="A23" s="7">
        <v>64</v>
      </c>
      <c r="B23" s="7" t="s">
        <v>18</v>
      </c>
      <c r="C23" s="7" t="s">
        <v>91</v>
      </c>
      <c r="D23" s="7"/>
      <c r="E23" s="7" t="s">
        <v>92</v>
      </c>
      <c r="F23" s="7">
        <v>10370</v>
      </c>
      <c r="G23" s="7">
        <v>5</v>
      </c>
      <c r="H23" s="7" t="s">
        <v>30</v>
      </c>
      <c r="I23" s="8" t="s">
        <v>22</v>
      </c>
      <c r="J23" s="9"/>
      <c r="K23" s="9"/>
      <c r="L23" s="26" t="s">
        <v>93</v>
      </c>
      <c r="M23" s="11"/>
      <c r="N23">
        <f t="shared" si="0"/>
        <v>25.925000000000001</v>
      </c>
      <c r="O23" s="12" t="s">
        <v>59</v>
      </c>
    </row>
    <row r="24" spans="1:18" ht="25" customHeight="1">
      <c r="A24" s="18">
        <v>111</v>
      </c>
      <c r="B24" s="18" t="s">
        <v>18</v>
      </c>
      <c r="C24" s="18" t="s">
        <v>94</v>
      </c>
      <c r="D24" s="18"/>
      <c r="E24" s="18" t="s">
        <v>95</v>
      </c>
      <c r="F24" s="18">
        <v>5683</v>
      </c>
      <c r="G24" s="18">
        <v>9</v>
      </c>
      <c r="H24" s="18" t="s">
        <v>30</v>
      </c>
      <c r="I24" s="19" t="s">
        <v>22</v>
      </c>
      <c r="J24" s="20"/>
      <c r="K24" s="20" t="s">
        <v>46</v>
      </c>
      <c r="L24" s="21" t="s">
        <v>96</v>
      </c>
      <c r="M24" s="22"/>
      <c r="N24" s="23">
        <f t="shared" si="0"/>
        <v>25.573499999999999</v>
      </c>
      <c r="O24" s="24" t="s">
        <v>59</v>
      </c>
      <c r="R24" s="25" t="s">
        <v>66</v>
      </c>
    </row>
    <row r="25" spans="1:18" ht="25" customHeight="1">
      <c r="A25" s="7">
        <v>27</v>
      </c>
      <c r="B25" s="7" t="s">
        <v>18</v>
      </c>
      <c r="C25" s="7" t="s">
        <v>97</v>
      </c>
      <c r="D25" s="7"/>
      <c r="E25" s="7" t="s">
        <v>98</v>
      </c>
      <c r="F25" s="7">
        <v>25493</v>
      </c>
      <c r="G25" s="7">
        <v>2</v>
      </c>
      <c r="H25" s="7" t="s">
        <v>50</v>
      </c>
      <c r="I25" s="8" t="s">
        <v>22</v>
      </c>
      <c r="J25" s="9"/>
      <c r="K25" s="9" t="s">
        <v>37</v>
      </c>
      <c r="L25" s="10" t="s">
        <v>99</v>
      </c>
      <c r="M25" s="11"/>
      <c r="N25">
        <f t="shared" si="0"/>
        <v>25.492999999999999</v>
      </c>
      <c r="O25" s="12" t="s">
        <v>59</v>
      </c>
    </row>
    <row r="26" spans="1:18" ht="25" customHeight="1">
      <c r="A26" s="7">
        <v>47</v>
      </c>
      <c r="B26" s="7" t="s">
        <v>18</v>
      </c>
      <c r="C26" s="7" t="s">
        <v>100</v>
      </c>
      <c r="D26" s="7"/>
      <c r="E26" s="7" t="s">
        <v>101</v>
      </c>
      <c r="F26" s="7">
        <v>14980</v>
      </c>
      <c r="G26" s="7">
        <v>3</v>
      </c>
      <c r="H26" s="7" t="s">
        <v>50</v>
      </c>
      <c r="I26" s="8" t="s">
        <v>22</v>
      </c>
      <c r="J26" s="9"/>
      <c r="K26" s="9"/>
      <c r="L26" s="10" t="s">
        <v>102</v>
      </c>
      <c r="M26" s="11"/>
      <c r="N26">
        <f t="shared" si="0"/>
        <v>22.47</v>
      </c>
      <c r="O26" s="12" t="s">
        <v>59</v>
      </c>
    </row>
    <row r="27" spans="1:18" ht="25" customHeight="1">
      <c r="A27" s="18">
        <v>32</v>
      </c>
      <c r="B27" s="18" t="s">
        <v>18</v>
      </c>
      <c r="C27" s="18" t="s">
        <v>103</v>
      </c>
      <c r="D27" s="18"/>
      <c r="E27" s="18" t="s">
        <v>104</v>
      </c>
      <c r="F27" s="18">
        <v>21672</v>
      </c>
      <c r="G27" s="18">
        <v>2</v>
      </c>
      <c r="H27" s="18" t="s">
        <v>30</v>
      </c>
      <c r="I27" s="19" t="s">
        <v>22</v>
      </c>
      <c r="J27" s="20" t="s">
        <v>54</v>
      </c>
      <c r="K27" s="20" t="s">
        <v>46</v>
      </c>
      <c r="L27" s="21" t="s">
        <v>55</v>
      </c>
      <c r="M27" s="22"/>
      <c r="N27" s="23">
        <f t="shared" si="0"/>
        <v>21.672000000000001</v>
      </c>
      <c r="O27" s="24" t="s">
        <v>59</v>
      </c>
      <c r="R27" s="25" t="s">
        <v>66</v>
      </c>
    </row>
    <row r="28" spans="1:18" ht="25" customHeight="1">
      <c r="A28" s="7">
        <v>136</v>
      </c>
      <c r="B28" s="7" t="s">
        <v>18</v>
      </c>
      <c r="C28" s="7" t="s">
        <v>105</v>
      </c>
      <c r="D28" s="7"/>
      <c r="E28" s="7" t="s">
        <v>106</v>
      </c>
      <c r="F28" s="7">
        <v>4318</v>
      </c>
      <c r="G28" s="7">
        <v>10</v>
      </c>
      <c r="H28" s="7" t="s">
        <v>30</v>
      </c>
      <c r="I28" s="8" t="s">
        <v>22</v>
      </c>
      <c r="J28" s="9" t="s">
        <v>107</v>
      </c>
      <c r="K28" s="9" t="s">
        <v>46</v>
      </c>
      <c r="L28" s="10" t="s">
        <v>108</v>
      </c>
      <c r="M28" s="11"/>
      <c r="N28">
        <f t="shared" si="0"/>
        <v>21.59</v>
      </c>
      <c r="O28" s="12" t="s">
        <v>59</v>
      </c>
      <c r="P28" s="27">
        <v>46198</v>
      </c>
      <c r="Q28" s="12" t="s">
        <v>34</v>
      </c>
    </row>
    <row r="29" spans="1:18" ht="25" customHeight="1">
      <c r="A29" s="7">
        <v>206</v>
      </c>
      <c r="B29" s="7" t="s">
        <v>18</v>
      </c>
      <c r="C29" s="7" t="s">
        <v>109</v>
      </c>
      <c r="D29" s="7"/>
      <c r="E29" s="7" t="s">
        <v>110</v>
      </c>
      <c r="F29" s="7">
        <v>2985</v>
      </c>
      <c r="G29" s="7">
        <v>14</v>
      </c>
      <c r="H29" s="7" t="s">
        <v>21</v>
      </c>
      <c r="I29" s="8" t="s">
        <v>22</v>
      </c>
      <c r="J29" s="9"/>
      <c r="K29" s="9" t="s">
        <v>37</v>
      </c>
      <c r="L29" s="10" t="s">
        <v>58</v>
      </c>
      <c r="M29" s="11"/>
      <c r="N29">
        <f t="shared" si="0"/>
        <v>20.895</v>
      </c>
      <c r="O29" s="12" t="s">
        <v>59</v>
      </c>
    </row>
    <row r="30" spans="1:18" ht="25" customHeight="1">
      <c r="A30" s="7">
        <v>51</v>
      </c>
      <c r="B30" s="7" t="s">
        <v>18</v>
      </c>
      <c r="C30" s="7" t="s">
        <v>111</v>
      </c>
      <c r="D30" s="7"/>
      <c r="E30" s="7" t="s">
        <v>112</v>
      </c>
      <c r="F30" s="7">
        <v>13812</v>
      </c>
      <c r="G30" s="7">
        <v>3</v>
      </c>
      <c r="H30" s="7" t="s">
        <v>50</v>
      </c>
      <c r="I30" s="8" t="s">
        <v>22</v>
      </c>
      <c r="J30" s="9"/>
      <c r="K30" s="17" t="s">
        <v>37</v>
      </c>
      <c r="L30" s="10" t="s">
        <v>113</v>
      </c>
      <c r="M30" s="11"/>
      <c r="N30">
        <f t="shared" si="0"/>
        <v>20.718</v>
      </c>
      <c r="O30" s="12" t="s">
        <v>59</v>
      </c>
    </row>
    <row r="31" spans="1:18" ht="25" customHeight="1">
      <c r="A31" s="18">
        <v>130</v>
      </c>
      <c r="B31" s="18" t="s">
        <v>18</v>
      </c>
      <c r="C31" s="18" t="s">
        <v>114</v>
      </c>
      <c r="D31" s="18"/>
      <c r="E31" s="18" t="s">
        <v>84</v>
      </c>
      <c r="F31" s="18">
        <v>4523</v>
      </c>
      <c r="G31" s="18">
        <v>9</v>
      </c>
      <c r="H31" s="18" t="s">
        <v>50</v>
      </c>
      <c r="I31" s="19" t="s">
        <v>22</v>
      </c>
      <c r="J31" s="20" t="s">
        <v>54</v>
      </c>
      <c r="K31" s="20" t="s">
        <v>46</v>
      </c>
      <c r="L31" s="21" t="s">
        <v>55</v>
      </c>
      <c r="M31" s="22"/>
      <c r="N31" s="23">
        <f t="shared" si="0"/>
        <v>20.3535</v>
      </c>
      <c r="O31" s="24" t="s">
        <v>59</v>
      </c>
      <c r="R31" s="28" t="s">
        <v>66</v>
      </c>
    </row>
    <row r="32" spans="1:18" ht="25" customHeight="1">
      <c r="A32" s="7">
        <v>131</v>
      </c>
      <c r="B32" s="7" t="s">
        <v>18</v>
      </c>
      <c r="C32" s="7" t="s">
        <v>115</v>
      </c>
      <c r="D32" s="7"/>
      <c r="E32" s="7" t="s">
        <v>116</v>
      </c>
      <c r="F32" s="7">
        <v>4491</v>
      </c>
      <c r="G32" s="7">
        <v>9</v>
      </c>
      <c r="H32" s="7" t="s">
        <v>21</v>
      </c>
      <c r="I32" s="8" t="s">
        <v>22</v>
      </c>
      <c r="J32" s="9"/>
      <c r="K32" s="15" t="s">
        <v>37</v>
      </c>
      <c r="L32" s="10" t="s">
        <v>117</v>
      </c>
      <c r="M32" s="11"/>
      <c r="N32">
        <f t="shared" si="0"/>
        <v>20.209499999999998</v>
      </c>
      <c r="O32" s="12" t="s">
        <v>59</v>
      </c>
    </row>
    <row r="33" spans="1:18" ht="25" customHeight="1">
      <c r="A33" s="18">
        <v>165</v>
      </c>
      <c r="B33" s="18" t="s">
        <v>18</v>
      </c>
      <c r="C33" s="18" t="s">
        <v>118</v>
      </c>
      <c r="D33" s="18"/>
      <c r="E33" s="18" t="s">
        <v>80</v>
      </c>
      <c r="F33" s="18">
        <v>3530</v>
      </c>
      <c r="G33" s="18">
        <v>11</v>
      </c>
      <c r="H33" s="18" t="s">
        <v>30</v>
      </c>
      <c r="I33" s="19" t="s">
        <v>22</v>
      </c>
      <c r="J33" s="20"/>
      <c r="K33" s="29" t="s">
        <v>46</v>
      </c>
      <c r="L33" s="21" t="s">
        <v>82</v>
      </c>
      <c r="M33" s="22"/>
      <c r="N33" s="23">
        <f t="shared" si="0"/>
        <v>19.414999999999999</v>
      </c>
      <c r="O33" s="24" t="s">
        <v>59</v>
      </c>
      <c r="R33" s="28" t="s">
        <v>66</v>
      </c>
    </row>
    <row r="34" spans="1:18" ht="25" customHeight="1">
      <c r="A34" s="18">
        <v>155</v>
      </c>
      <c r="B34" s="18" t="s">
        <v>18</v>
      </c>
      <c r="C34" s="18" t="s">
        <v>119</v>
      </c>
      <c r="D34" s="18"/>
      <c r="E34" s="18" t="s">
        <v>106</v>
      </c>
      <c r="F34" s="18">
        <v>3753</v>
      </c>
      <c r="G34" s="18">
        <v>8</v>
      </c>
      <c r="H34" s="18" t="s">
        <v>50</v>
      </c>
      <c r="I34" s="19" t="s">
        <v>22</v>
      </c>
      <c r="J34" s="20" t="s">
        <v>107</v>
      </c>
      <c r="K34" s="29" t="s">
        <v>46</v>
      </c>
      <c r="L34" s="21" t="s">
        <v>108</v>
      </c>
      <c r="M34" s="22"/>
      <c r="N34" s="23">
        <f t="shared" si="0"/>
        <v>15.012</v>
      </c>
      <c r="O34" s="24" t="s">
        <v>59</v>
      </c>
      <c r="R34" s="28" t="s">
        <v>66</v>
      </c>
    </row>
    <row r="35" spans="1:18" ht="25" customHeight="1">
      <c r="A35" s="7">
        <v>179</v>
      </c>
      <c r="B35" s="7" t="s">
        <v>18</v>
      </c>
      <c r="C35" s="7" t="s">
        <v>120</v>
      </c>
      <c r="D35" s="7"/>
      <c r="E35" s="7" t="s">
        <v>121</v>
      </c>
      <c r="F35" s="7">
        <v>3373</v>
      </c>
      <c r="G35" s="7">
        <v>8</v>
      </c>
      <c r="H35" s="7" t="s">
        <v>30</v>
      </c>
      <c r="I35" s="8" t="s">
        <v>22</v>
      </c>
      <c r="J35" s="9"/>
      <c r="K35" s="17" t="s">
        <v>46</v>
      </c>
      <c r="L35" s="10" t="s">
        <v>55</v>
      </c>
      <c r="M35" s="11"/>
      <c r="N35">
        <f t="shared" si="0"/>
        <v>13.492000000000001</v>
      </c>
      <c r="O35" s="12" t="s">
        <v>59</v>
      </c>
      <c r="P35" s="30">
        <v>46198</v>
      </c>
      <c r="Q35" s="12" t="s">
        <v>73</v>
      </c>
      <c r="R35" s="12" t="s">
        <v>122</v>
      </c>
    </row>
    <row r="36" spans="1:18" ht="25" customHeight="1">
      <c r="A36" s="7">
        <v>33</v>
      </c>
      <c r="B36" s="7" t="s">
        <v>18</v>
      </c>
      <c r="C36" s="7" t="s">
        <v>123</v>
      </c>
      <c r="D36" s="7"/>
      <c r="E36" s="7" t="s">
        <v>124</v>
      </c>
      <c r="F36" s="7">
        <v>21646</v>
      </c>
      <c r="G36" s="7">
        <v>1</v>
      </c>
      <c r="H36" s="7" t="s">
        <v>30</v>
      </c>
      <c r="I36" s="8" t="s">
        <v>22</v>
      </c>
      <c r="J36" s="9"/>
      <c r="K36" s="17" t="s">
        <v>46</v>
      </c>
      <c r="L36" s="10" t="s">
        <v>125</v>
      </c>
      <c r="M36" s="11"/>
      <c r="N36">
        <f t="shared" si="0"/>
        <v>10.823</v>
      </c>
      <c r="O36" s="12" t="s">
        <v>59</v>
      </c>
    </row>
    <row r="37" spans="1:18" ht="25" customHeight="1">
      <c r="A37" s="7">
        <v>35</v>
      </c>
      <c r="B37" s="7" t="s">
        <v>18</v>
      </c>
      <c r="C37" s="7" t="s">
        <v>126</v>
      </c>
      <c r="D37" s="7"/>
      <c r="E37" s="7" t="s">
        <v>127</v>
      </c>
      <c r="F37" s="7">
        <v>21112</v>
      </c>
      <c r="G37" s="7">
        <v>1</v>
      </c>
      <c r="H37" s="7" t="s">
        <v>50</v>
      </c>
      <c r="I37" s="8" t="s">
        <v>22</v>
      </c>
      <c r="J37" s="9"/>
      <c r="K37" s="9" t="s">
        <v>46</v>
      </c>
      <c r="L37" s="10" t="s">
        <v>72</v>
      </c>
      <c r="M37" s="11"/>
      <c r="N37">
        <f t="shared" si="0"/>
        <v>10.555999999999999</v>
      </c>
      <c r="O37" s="12" t="s">
        <v>59</v>
      </c>
      <c r="P37" s="30">
        <v>46198</v>
      </c>
      <c r="Q37" s="12" t="s">
        <v>34</v>
      </c>
    </row>
    <row r="38" spans="1:18" ht="25" customHeight="1">
      <c r="A38" s="7">
        <v>98</v>
      </c>
      <c r="B38" s="7" t="s">
        <v>18</v>
      </c>
      <c r="C38" s="7" t="s">
        <v>128</v>
      </c>
      <c r="D38" s="7"/>
      <c r="E38" s="7" t="s">
        <v>129</v>
      </c>
      <c r="F38" s="7">
        <v>6717</v>
      </c>
      <c r="G38" s="7">
        <v>3</v>
      </c>
      <c r="H38" s="7" t="s">
        <v>21</v>
      </c>
      <c r="I38" s="8" t="s">
        <v>22</v>
      </c>
      <c r="J38" s="9"/>
      <c r="K38" s="9" t="s">
        <v>37</v>
      </c>
      <c r="L38" s="10" t="s">
        <v>58</v>
      </c>
      <c r="M38" s="11"/>
      <c r="N38">
        <f t="shared" si="0"/>
        <v>10.0755</v>
      </c>
      <c r="O38" s="12" t="s">
        <v>59</v>
      </c>
    </row>
    <row r="39" spans="1:18" ht="25" customHeight="1">
      <c r="A39" s="7">
        <v>40</v>
      </c>
      <c r="B39" s="7" t="s">
        <v>18</v>
      </c>
      <c r="C39" s="7" t="s">
        <v>130</v>
      </c>
      <c r="D39" s="7"/>
      <c r="E39" s="7" t="s">
        <v>131</v>
      </c>
      <c r="F39" s="7">
        <v>18948</v>
      </c>
      <c r="G39" s="7">
        <v>1</v>
      </c>
      <c r="H39" s="7" t="s">
        <v>50</v>
      </c>
      <c r="I39" s="8" t="s">
        <v>22</v>
      </c>
      <c r="J39" s="9"/>
      <c r="K39" s="9" t="s">
        <v>46</v>
      </c>
      <c r="L39" s="10" t="s">
        <v>132</v>
      </c>
      <c r="M39" s="11"/>
      <c r="N39">
        <f t="shared" si="0"/>
        <v>9.4740000000000002</v>
      </c>
      <c r="O39" s="12" t="s">
        <v>133</v>
      </c>
    </row>
    <row r="40" spans="1:18" ht="25" customHeight="1">
      <c r="A40" s="7">
        <v>156</v>
      </c>
      <c r="B40" s="7" t="s">
        <v>18</v>
      </c>
      <c r="C40" s="7" t="s">
        <v>134</v>
      </c>
      <c r="D40" s="7"/>
      <c r="E40" s="7" t="s">
        <v>135</v>
      </c>
      <c r="F40" s="7">
        <v>3742</v>
      </c>
      <c r="G40" s="7">
        <v>5</v>
      </c>
      <c r="H40" s="7" t="s">
        <v>50</v>
      </c>
      <c r="I40" s="8" t="s">
        <v>22</v>
      </c>
      <c r="J40" s="9"/>
      <c r="K40" s="15" t="s">
        <v>37</v>
      </c>
      <c r="L40" s="10" t="s">
        <v>51</v>
      </c>
      <c r="M40" s="11"/>
      <c r="N40">
        <f t="shared" si="0"/>
        <v>9.3550000000000004</v>
      </c>
      <c r="O40" s="12" t="s">
        <v>133</v>
      </c>
    </row>
    <row r="41" spans="1:18" ht="25" customHeight="1">
      <c r="A41" s="7">
        <v>68</v>
      </c>
      <c r="B41" s="7" t="s">
        <v>18</v>
      </c>
      <c r="C41" s="7" t="s">
        <v>136</v>
      </c>
      <c r="D41" s="7"/>
      <c r="E41" s="7" t="s">
        <v>137</v>
      </c>
      <c r="F41" s="7">
        <v>9117</v>
      </c>
      <c r="G41" s="7">
        <v>2</v>
      </c>
      <c r="H41" s="7" t="s">
        <v>50</v>
      </c>
      <c r="I41" s="8" t="s">
        <v>22</v>
      </c>
      <c r="J41" s="9"/>
      <c r="K41" s="9" t="s">
        <v>46</v>
      </c>
      <c r="L41" s="10" t="s">
        <v>72</v>
      </c>
      <c r="M41" s="11"/>
      <c r="N41">
        <f t="shared" si="0"/>
        <v>9.1170000000000009</v>
      </c>
      <c r="O41" s="12" t="s">
        <v>133</v>
      </c>
      <c r="P41" s="30">
        <v>46198</v>
      </c>
      <c r="Q41" s="12" t="s">
        <v>34</v>
      </c>
    </row>
    <row r="42" spans="1:18" ht="25" customHeight="1">
      <c r="A42" s="7">
        <v>212</v>
      </c>
      <c r="B42" s="7" t="s">
        <v>18</v>
      </c>
      <c r="C42" s="7" t="s">
        <v>138</v>
      </c>
      <c r="D42" s="7"/>
      <c r="E42" s="7" t="s">
        <v>139</v>
      </c>
      <c r="F42" s="7">
        <v>2924</v>
      </c>
      <c r="G42" s="7">
        <v>6</v>
      </c>
      <c r="H42" s="7" t="s">
        <v>30</v>
      </c>
      <c r="I42" s="8" t="s">
        <v>22</v>
      </c>
      <c r="J42" s="9" t="s">
        <v>23</v>
      </c>
      <c r="K42" s="9" t="s">
        <v>24</v>
      </c>
      <c r="L42" s="10" t="s">
        <v>140</v>
      </c>
      <c r="M42" s="11"/>
      <c r="N42">
        <f t="shared" si="0"/>
        <v>8.7720000000000002</v>
      </c>
      <c r="O42" s="12" t="s">
        <v>133</v>
      </c>
    </row>
    <row r="43" spans="1:18" ht="25" customHeight="1">
      <c r="A43" s="18">
        <v>43</v>
      </c>
      <c r="B43" s="18" t="s">
        <v>18</v>
      </c>
      <c r="C43" s="18" t="s">
        <v>141</v>
      </c>
      <c r="D43" s="18"/>
      <c r="E43" s="18" t="s">
        <v>127</v>
      </c>
      <c r="F43" s="18">
        <v>17515</v>
      </c>
      <c r="G43" s="18">
        <v>1</v>
      </c>
      <c r="H43" s="18" t="s">
        <v>30</v>
      </c>
      <c r="I43" s="19" t="s">
        <v>22</v>
      </c>
      <c r="J43" s="20"/>
      <c r="K43" s="20" t="s">
        <v>46</v>
      </c>
      <c r="L43" s="21" t="s">
        <v>72</v>
      </c>
      <c r="M43" s="22"/>
      <c r="N43" s="23">
        <f t="shared" si="0"/>
        <v>8.7575000000000003</v>
      </c>
      <c r="O43" s="24" t="s">
        <v>133</v>
      </c>
      <c r="R43" s="28" t="s">
        <v>66</v>
      </c>
    </row>
    <row r="44" spans="1:18" ht="25" customHeight="1">
      <c r="A44" s="7">
        <v>88</v>
      </c>
      <c r="B44" s="7" t="s">
        <v>18</v>
      </c>
      <c r="C44" s="7" t="s">
        <v>142</v>
      </c>
      <c r="D44" s="7"/>
      <c r="E44" s="7" t="s">
        <v>143</v>
      </c>
      <c r="F44" s="7">
        <v>7603</v>
      </c>
      <c r="G44" s="7">
        <v>2</v>
      </c>
      <c r="H44" s="7" t="s">
        <v>30</v>
      </c>
      <c r="I44" s="8" t="s">
        <v>22</v>
      </c>
      <c r="J44" s="9"/>
      <c r="K44" s="9" t="s">
        <v>46</v>
      </c>
      <c r="L44" s="10" t="s">
        <v>55</v>
      </c>
      <c r="M44" s="11"/>
      <c r="N44">
        <f t="shared" si="0"/>
        <v>7.6029999999999998</v>
      </c>
      <c r="O44" s="12" t="s">
        <v>133</v>
      </c>
      <c r="P44" s="30">
        <v>46198</v>
      </c>
      <c r="Q44" s="12" t="s">
        <v>34</v>
      </c>
    </row>
    <row r="45" spans="1:18" ht="25" customHeight="1">
      <c r="A45" s="7">
        <v>154</v>
      </c>
      <c r="B45" s="7" t="s">
        <v>18</v>
      </c>
      <c r="C45" s="7" t="s">
        <v>144</v>
      </c>
      <c r="D45" s="7"/>
      <c r="E45" s="7" t="s">
        <v>145</v>
      </c>
      <c r="F45" s="7">
        <v>3754</v>
      </c>
      <c r="G45" s="7">
        <v>4</v>
      </c>
      <c r="H45" s="7" t="s">
        <v>50</v>
      </c>
      <c r="I45" s="8" t="s">
        <v>22</v>
      </c>
      <c r="J45" s="9"/>
      <c r="K45" s="15" t="s">
        <v>37</v>
      </c>
      <c r="L45" s="10" t="s">
        <v>146</v>
      </c>
      <c r="M45" s="11"/>
      <c r="N45">
        <f t="shared" si="0"/>
        <v>7.508</v>
      </c>
      <c r="O45" s="12" t="s">
        <v>133</v>
      </c>
    </row>
    <row r="46" spans="1:18" ht="25" customHeight="1">
      <c r="A46" s="7">
        <v>49</v>
      </c>
      <c r="B46" s="7" t="s">
        <v>18</v>
      </c>
      <c r="C46" s="7" t="s">
        <v>147</v>
      </c>
      <c r="D46" s="7"/>
      <c r="E46" s="7" t="s">
        <v>148</v>
      </c>
      <c r="F46" s="7">
        <v>14646</v>
      </c>
      <c r="G46" s="7">
        <v>1</v>
      </c>
      <c r="H46" s="7" t="s">
        <v>50</v>
      </c>
      <c r="I46" s="8" t="s">
        <v>22</v>
      </c>
      <c r="J46" s="9"/>
      <c r="K46" s="9" t="s">
        <v>46</v>
      </c>
      <c r="L46" s="10" t="s">
        <v>149</v>
      </c>
      <c r="M46" s="11"/>
      <c r="N46">
        <f t="shared" si="0"/>
        <v>7.3230000000000004</v>
      </c>
      <c r="O46" s="12" t="s">
        <v>133</v>
      </c>
      <c r="P46" s="30">
        <v>46198</v>
      </c>
      <c r="Q46" s="12" t="s">
        <v>34</v>
      </c>
    </row>
    <row r="47" spans="1:18" ht="25" customHeight="1">
      <c r="A47" s="7">
        <v>62</v>
      </c>
      <c r="B47" s="7" t="s">
        <v>18</v>
      </c>
      <c r="C47" s="7" t="s">
        <v>150</v>
      </c>
      <c r="D47" s="7"/>
      <c r="E47" s="7" t="s">
        <v>151</v>
      </c>
      <c r="F47" s="7">
        <v>10795</v>
      </c>
      <c r="G47" s="7">
        <v>1</v>
      </c>
      <c r="H47" s="7" t="s">
        <v>50</v>
      </c>
      <c r="I47" s="8" t="s">
        <v>22</v>
      </c>
      <c r="J47" s="9"/>
      <c r="K47" s="9" t="s">
        <v>46</v>
      </c>
      <c r="L47" s="10" t="s">
        <v>152</v>
      </c>
      <c r="M47" s="11"/>
      <c r="N47">
        <f t="shared" si="0"/>
        <v>5.3975</v>
      </c>
      <c r="O47" s="12" t="s">
        <v>133</v>
      </c>
      <c r="P47" s="30">
        <v>46198</v>
      </c>
      <c r="Q47" s="12" t="s">
        <v>34</v>
      </c>
    </row>
    <row r="48" spans="1:18" ht="25" customHeight="1">
      <c r="A48" s="7">
        <v>63</v>
      </c>
      <c r="B48" s="7" t="s">
        <v>18</v>
      </c>
      <c r="C48" s="7" t="s">
        <v>153</v>
      </c>
      <c r="D48" s="7"/>
      <c r="E48" s="7" t="s">
        <v>36</v>
      </c>
      <c r="F48" s="7">
        <v>10715</v>
      </c>
      <c r="G48" s="7">
        <v>1</v>
      </c>
      <c r="H48" s="7" t="s">
        <v>50</v>
      </c>
      <c r="I48" s="8" t="s">
        <v>22</v>
      </c>
      <c r="J48" s="9"/>
      <c r="K48" s="9" t="s">
        <v>37</v>
      </c>
      <c r="L48" s="10" t="s">
        <v>38</v>
      </c>
      <c r="M48" s="11"/>
      <c r="N48">
        <f t="shared" si="0"/>
        <v>5.3574999999999999</v>
      </c>
      <c r="O48" s="12" t="s">
        <v>133</v>
      </c>
    </row>
    <row r="49" spans="1:18" ht="25" customHeight="1">
      <c r="A49" s="7">
        <v>173</v>
      </c>
      <c r="B49" s="7" t="s">
        <v>18</v>
      </c>
      <c r="C49" s="7" t="s">
        <v>154</v>
      </c>
      <c r="D49" s="7"/>
      <c r="E49" s="7" t="s">
        <v>155</v>
      </c>
      <c r="F49" s="7">
        <v>3431</v>
      </c>
      <c r="G49" s="7">
        <v>3</v>
      </c>
      <c r="H49" s="7" t="s">
        <v>30</v>
      </c>
      <c r="I49" s="8" t="s">
        <v>22</v>
      </c>
      <c r="J49" s="9"/>
      <c r="K49" s="9" t="s">
        <v>46</v>
      </c>
      <c r="L49" s="10" t="s">
        <v>156</v>
      </c>
      <c r="M49" s="11"/>
      <c r="N49">
        <f t="shared" si="0"/>
        <v>5.1464999999999996</v>
      </c>
      <c r="O49" s="12" t="s">
        <v>133</v>
      </c>
      <c r="P49" s="30">
        <v>46198</v>
      </c>
      <c r="Q49" s="12" t="s">
        <v>34</v>
      </c>
    </row>
    <row r="50" spans="1:18" ht="25" customHeight="1">
      <c r="A50" s="7">
        <v>182</v>
      </c>
      <c r="B50" s="7" t="s">
        <v>18</v>
      </c>
      <c r="C50" s="7" t="s">
        <v>157</v>
      </c>
      <c r="D50" s="7"/>
      <c r="E50" s="7" t="s">
        <v>158</v>
      </c>
      <c r="F50" s="7">
        <v>3310</v>
      </c>
      <c r="G50" s="7">
        <v>3</v>
      </c>
      <c r="H50" s="7" t="s">
        <v>30</v>
      </c>
      <c r="I50" s="8" t="s">
        <v>22</v>
      </c>
      <c r="J50" s="9"/>
      <c r="K50" s="9" t="s">
        <v>46</v>
      </c>
      <c r="L50" s="10" t="s">
        <v>159</v>
      </c>
      <c r="M50" s="11"/>
      <c r="N50">
        <f t="shared" si="0"/>
        <v>4.9649999999999999</v>
      </c>
      <c r="O50" s="12" t="s">
        <v>133</v>
      </c>
      <c r="P50" s="30">
        <v>46198</v>
      </c>
      <c r="Q50" s="12" t="s">
        <v>34</v>
      </c>
    </row>
    <row r="51" spans="1:18" ht="25" customHeight="1">
      <c r="A51" s="7">
        <v>71</v>
      </c>
      <c r="B51" s="7" t="s">
        <v>18</v>
      </c>
      <c r="C51" s="7" t="s">
        <v>160</v>
      </c>
      <c r="D51" s="7"/>
      <c r="E51" s="7" t="s">
        <v>161</v>
      </c>
      <c r="F51" s="7">
        <v>8838</v>
      </c>
      <c r="G51" s="7">
        <v>1</v>
      </c>
      <c r="H51" s="7" t="s">
        <v>30</v>
      </c>
      <c r="I51" s="8" t="s">
        <v>22</v>
      </c>
      <c r="J51" s="9"/>
      <c r="K51" s="9" t="s">
        <v>46</v>
      </c>
      <c r="L51" s="10" t="s">
        <v>162</v>
      </c>
      <c r="M51" s="11"/>
      <c r="N51">
        <f t="shared" si="0"/>
        <v>4.4189999999999996</v>
      </c>
      <c r="O51" s="12" t="s">
        <v>133</v>
      </c>
      <c r="P51" s="30">
        <v>46198</v>
      </c>
      <c r="Q51" s="12" t="s">
        <v>34</v>
      </c>
    </row>
    <row r="52" spans="1:18" ht="25" customHeight="1">
      <c r="A52" s="7">
        <v>78</v>
      </c>
      <c r="B52" s="7" t="s">
        <v>18</v>
      </c>
      <c r="C52" s="7" t="s">
        <v>163</v>
      </c>
      <c r="D52" s="7"/>
      <c r="E52" s="7" t="s">
        <v>164</v>
      </c>
      <c r="F52" s="7">
        <v>8323</v>
      </c>
      <c r="G52" s="7">
        <v>1</v>
      </c>
      <c r="H52" s="7" t="s">
        <v>21</v>
      </c>
      <c r="I52" s="8" t="s">
        <v>22</v>
      </c>
      <c r="J52" s="9"/>
      <c r="K52" s="9" t="s">
        <v>87</v>
      </c>
      <c r="L52" s="10" t="s">
        <v>165</v>
      </c>
      <c r="M52" s="11"/>
      <c r="N52">
        <f t="shared" si="0"/>
        <v>4.1615000000000002</v>
      </c>
      <c r="O52" s="12" t="s">
        <v>133</v>
      </c>
    </row>
    <row r="53" spans="1:18" ht="25" customHeight="1">
      <c r="A53" s="7">
        <v>79</v>
      </c>
      <c r="B53" s="7" t="s">
        <v>18</v>
      </c>
      <c r="C53" s="7" t="s">
        <v>166</v>
      </c>
      <c r="D53" s="7"/>
      <c r="E53" s="7" t="s">
        <v>167</v>
      </c>
      <c r="F53" s="7">
        <v>8277</v>
      </c>
      <c r="G53" s="7">
        <v>1</v>
      </c>
      <c r="H53" s="7" t="s">
        <v>50</v>
      </c>
      <c r="I53" s="8" t="s">
        <v>22</v>
      </c>
      <c r="J53" s="9"/>
      <c r="K53" s="9" t="s">
        <v>46</v>
      </c>
      <c r="L53" s="10" t="s">
        <v>168</v>
      </c>
      <c r="M53" s="11"/>
      <c r="N53">
        <f t="shared" si="0"/>
        <v>4.1384999999999996</v>
      </c>
      <c r="O53" s="12" t="s">
        <v>133</v>
      </c>
      <c r="P53" s="30">
        <v>46198</v>
      </c>
      <c r="Q53" s="12" t="s">
        <v>34</v>
      </c>
    </row>
    <row r="54" spans="1:18" ht="25" customHeight="1">
      <c r="A54" s="7">
        <v>80</v>
      </c>
      <c r="B54" s="7" t="s">
        <v>18</v>
      </c>
      <c r="C54" s="7" t="s">
        <v>169</v>
      </c>
      <c r="D54" s="7"/>
      <c r="E54" s="7" t="s">
        <v>170</v>
      </c>
      <c r="F54" s="7">
        <v>8271</v>
      </c>
      <c r="G54" s="7">
        <v>1</v>
      </c>
      <c r="H54" s="7" t="s">
        <v>21</v>
      </c>
      <c r="I54" s="8" t="s">
        <v>22</v>
      </c>
      <c r="J54" s="9"/>
      <c r="K54" s="9" t="s">
        <v>37</v>
      </c>
      <c r="L54" s="10" t="s">
        <v>171</v>
      </c>
      <c r="M54" s="11"/>
      <c r="N54">
        <f t="shared" si="0"/>
        <v>4.1355000000000004</v>
      </c>
      <c r="O54" s="12" t="s">
        <v>133</v>
      </c>
    </row>
    <row r="55" spans="1:18" ht="25" customHeight="1">
      <c r="A55" s="7">
        <v>280</v>
      </c>
      <c r="B55" s="7" t="s">
        <v>18</v>
      </c>
      <c r="C55" s="7" t="s">
        <v>172</v>
      </c>
      <c r="D55" s="7"/>
      <c r="E55" s="7" t="s">
        <v>173</v>
      </c>
      <c r="F55" s="7">
        <v>2253</v>
      </c>
      <c r="G55" s="7">
        <v>3</v>
      </c>
      <c r="H55" s="7" t="s">
        <v>30</v>
      </c>
      <c r="I55" s="8" t="s">
        <v>22</v>
      </c>
      <c r="J55" s="9" t="s">
        <v>54</v>
      </c>
      <c r="K55" s="9" t="s">
        <v>46</v>
      </c>
      <c r="L55" s="10" t="s">
        <v>55</v>
      </c>
      <c r="M55" s="11"/>
      <c r="N55">
        <f t="shared" si="0"/>
        <v>3.3795000000000002</v>
      </c>
      <c r="O55" s="12" t="s">
        <v>133</v>
      </c>
      <c r="P55" s="30">
        <v>46198</v>
      </c>
      <c r="Q55" s="12" t="s">
        <v>34</v>
      </c>
    </row>
    <row r="56" spans="1:18" ht="25" customHeight="1">
      <c r="A56" s="18">
        <v>102</v>
      </c>
      <c r="B56" s="18" t="s">
        <v>18</v>
      </c>
      <c r="C56" s="18" t="s">
        <v>174</v>
      </c>
      <c r="D56" s="18"/>
      <c r="E56" s="18" t="s">
        <v>90</v>
      </c>
      <c r="F56" s="18">
        <v>6315</v>
      </c>
      <c r="G56" s="18">
        <v>1</v>
      </c>
      <c r="H56" s="18" t="s">
        <v>30</v>
      </c>
      <c r="I56" s="19" t="s">
        <v>22</v>
      </c>
      <c r="J56" s="20" t="s">
        <v>54</v>
      </c>
      <c r="K56" s="20" t="s">
        <v>46</v>
      </c>
      <c r="L56" s="21" t="s">
        <v>55</v>
      </c>
      <c r="M56" s="22"/>
      <c r="N56" s="23">
        <f t="shared" si="0"/>
        <v>3.1575000000000002</v>
      </c>
      <c r="O56" s="24" t="s">
        <v>133</v>
      </c>
      <c r="R56" s="25" t="s">
        <v>66</v>
      </c>
    </row>
    <row r="57" spans="1:18" ht="25" customHeight="1">
      <c r="A57" s="7">
        <v>207</v>
      </c>
      <c r="B57" s="7" t="s">
        <v>18</v>
      </c>
      <c r="C57" s="7" t="s">
        <v>175</v>
      </c>
      <c r="D57" s="7"/>
      <c r="E57" s="7" t="s">
        <v>176</v>
      </c>
      <c r="F57" s="7">
        <v>2979</v>
      </c>
      <c r="G57" s="7">
        <v>2</v>
      </c>
      <c r="H57" s="7" t="s">
        <v>30</v>
      </c>
      <c r="I57" s="8" t="s">
        <v>22</v>
      </c>
      <c r="J57" s="9" t="s">
        <v>107</v>
      </c>
      <c r="K57" s="9" t="s">
        <v>46</v>
      </c>
      <c r="L57" s="10" t="s">
        <v>108</v>
      </c>
      <c r="M57" s="11"/>
      <c r="N57">
        <f t="shared" si="0"/>
        <v>2.9790000000000001</v>
      </c>
      <c r="O57" s="12" t="s">
        <v>133</v>
      </c>
      <c r="P57" s="31">
        <v>46198</v>
      </c>
      <c r="Q57" s="12" t="s">
        <v>34</v>
      </c>
    </row>
    <row r="58" spans="1:18" ht="25" customHeight="1">
      <c r="A58" s="7">
        <v>109</v>
      </c>
      <c r="B58" s="7" t="s">
        <v>18</v>
      </c>
      <c r="C58" s="7" t="s">
        <v>177</v>
      </c>
      <c r="D58" s="7"/>
      <c r="E58" s="7" t="s">
        <v>178</v>
      </c>
      <c r="F58" s="7">
        <v>5879</v>
      </c>
      <c r="G58" s="7">
        <v>1</v>
      </c>
      <c r="H58" s="7" t="s">
        <v>30</v>
      </c>
      <c r="I58" s="8" t="s">
        <v>22</v>
      </c>
      <c r="J58" s="9"/>
      <c r="K58" s="9" t="s">
        <v>46</v>
      </c>
      <c r="L58" s="10" t="s">
        <v>108</v>
      </c>
      <c r="M58" s="11"/>
      <c r="N58">
        <f t="shared" si="0"/>
        <v>2.9394999999999998</v>
      </c>
      <c r="O58" s="12" t="s">
        <v>133</v>
      </c>
      <c r="P58" s="31">
        <v>46198</v>
      </c>
      <c r="Q58" s="12" t="s">
        <v>34</v>
      </c>
    </row>
    <row r="59" spans="1:18" ht="25" customHeight="1">
      <c r="A59" s="18">
        <v>122</v>
      </c>
      <c r="B59" s="18" t="s">
        <v>18</v>
      </c>
      <c r="C59" s="18" t="s">
        <v>179</v>
      </c>
      <c r="D59" s="18"/>
      <c r="E59" s="18" t="s">
        <v>180</v>
      </c>
      <c r="F59" s="18">
        <v>4952</v>
      </c>
      <c r="G59" s="18">
        <v>1</v>
      </c>
      <c r="H59" s="18" t="s">
        <v>30</v>
      </c>
      <c r="I59" s="19" t="s">
        <v>22</v>
      </c>
      <c r="J59" s="20" t="s">
        <v>107</v>
      </c>
      <c r="K59" s="20" t="s">
        <v>46</v>
      </c>
      <c r="L59" s="21" t="s">
        <v>108</v>
      </c>
      <c r="M59" s="22"/>
      <c r="N59" s="23">
        <f t="shared" si="0"/>
        <v>2.476</v>
      </c>
      <c r="O59" s="24" t="s">
        <v>133</v>
      </c>
      <c r="R59" s="25" t="s">
        <v>66</v>
      </c>
    </row>
    <row r="60" spans="1:18" ht="25" customHeight="1">
      <c r="A60" s="18">
        <v>125</v>
      </c>
      <c r="B60" s="18" t="s">
        <v>18</v>
      </c>
      <c r="C60" s="18" t="s">
        <v>181</v>
      </c>
      <c r="D60" s="18"/>
      <c r="E60" s="18" t="s">
        <v>143</v>
      </c>
      <c r="F60" s="18">
        <v>4767</v>
      </c>
      <c r="G60" s="18">
        <v>1</v>
      </c>
      <c r="H60" s="18" t="s">
        <v>50</v>
      </c>
      <c r="I60" s="19" t="s">
        <v>22</v>
      </c>
      <c r="J60" s="20"/>
      <c r="K60" s="20" t="s">
        <v>46</v>
      </c>
      <c r="L60" s="21" t="s">
        <v>55</v>
      </c>
      <c r="M60" s="22"/>
      <c r="N60" s="23">
        <f t="shared" si="0"/>
        <v>2.3835000000000002</v>
      </c>
      <c r="O60" s="24" t="s">
        <v>133</v>
      </c>
      <c r="R60" s="25" t="s">
        <v>66</v>
      </c>
    </row>
    <row r="61" spans="1:18" ht="25" customHeight="1">
      <c r="A61" s="18">
        <v>273</v>
      </c>
      <c r="B61" s="18" t="s">
        <v>18</v>
      </c>
      <c r="C61" s="18" t="s">
        <v>182</v>
      </c>
      <c r="D61" s="18"/>
      <c r="E61" s="18" t="s">
        <v>155</v>
      </c>
      <c r="F61" s="18">
        <v>2290</v>
      </c>
      <c r="G61" s="18">
        <v>2</v>
      </c>
      <c r="H61" s="18" t="s">
        <v>50</v>
      </c>
      <c r="I61" s="19" t="s">
        <v>22</v>
      </c>
      <c r="J61" s="20"/>
      <c r="K61" s="20" t="s">
        <v>46</v>
      </c>
      <c r="L61" s="21" t="s">
        <v>156</v>
      </c>
      <c r="M61" s="22"/>
      <c r="N61" s="23">
        <f t="shared" si="0"/>
        <v>2.29</v>
      </c>
      <c r="O61" s="24" t="s">
        <v>133</v>
      </c>
      <c r="R61" s="25" t="s">
        <v>66</v>
      </c>
    </row>
    <row r="62" spans="1:18" ht="25" customHeight="1">
      <c r="A62" s="18">
        <v>137</v>
      </c>
      <c r="B62" s="18" t="s">
        <v>18</v>
      </c>
      <c r="C62" s="18" t="s">
        <v>183</v>
      </c>
      <c r="D62" s="18"/>
      <c r="E62" s="18" t="s">
        <v>53</v>
      </c>
      <c r="F62" s="18">
        <v>4313</v>
      </c>
      <c r="G62" s="18">
        <v>1</v>
      </c>
      <c r="H62" s="18" t="s">
        <v>50</v>
      </c>
      <c r="I62" s="19" t="s">
        <v>22</v>
      </c>
      <c r="J62" s="20" t="s">
        <v>54</v>
      </c>
      <c r="K62" s="20" t="s">
        <v>46</v>
      </c>
      <c r="L62" s="21" t="s">
        <v>55</v>
      </c>
      <c r="M62" s="22"/>
      <c r="N62" s="23">
        <f t="shared" si="0"/>
        <v>2.1564999999999999</v>
      </c>
      <c r="O62" s="24" t="s">
        <v>133</v>
      </c>
      <c r="R62" s="25" t="s">
        <v>66</v>
      </c>
    </row>
    <row r="63" spans="1:18" ht="25" customHeight="1">
      <c r="A63" s="7">
        <v>139</v>
      </c>
      <c r="B63" s="7" t="s">
        <v>18</v>
      </c>
      <c r="C63" s="7" t="s">
        <v>184</v>
      </c>
      <c r="D63" s="7"/>
      <c r="E63" s="7" t="s">
        <v>145</v>
      </c>
      <c r="F63" s="7">
        <v>4224</v>
      </c>
      <c r="G63" s="7">
        <v>1</v>
      </c>
      <c r="H63" s="7" t="s">
        <v>30</v>
      </c>
      <c r="I63" s="8" t="s">
        <v>22</v>
      </c>
      <c r="J63" s="9"/>
      <c r="K63" s="9" t="s">
        <v>37</v>
      </c>
      <c r="L63" s="10" t="s">
        <v>185</v>
      </c>
      <c r="M63" s="11"/>
      <c r="N63">
        <f t="shared" si="0"/>
        <v>2.1120000000000001</v>
      </c>
      <c r="O63" s="12" t="s">
        <v>133</v>
      </c>
    </row>
    <row r="64" spans="1:18" ht="25" customHeight="1">
      <c r="A64" s="7">
        <v>301</v>
      </c>
      <c r="B64" s="7" t="s">
        <v>18</v>
      </c>
      <c r="C64" s="7" t="s">
        <v>186</v>
      </c>
      <c r="D64" s="7"/>
      <c r="E64" s="7" t="s">
        <v>187</v>
      </c>
      <c r="F64" s="7">
        <v>2100</v>
      </c>
      <c r="G64" s="7">
        <v>2</v>
      </c>
      <c r="H64" s="7" t="s">
        <v>21</v>
      </c>
      <c r="I64" s="8" t="s">
        <v>22</v>
      </c>
      <c r="J64" s="9"/>
      <c r="K64" s="9" t="s">
        <v>37</v>
      </c>
      <c r="L64" s="10" t="s">
        <v>38</v>
      </c>
      <c r="M64" s="11"/>
      <c r="N64">
        <f t="shared" si="0"/>
        <v>2.1</v>
      </c>
      <c r="O64" s="12" t="s">
        <v>133</v>
      </c>
    </row>
    <row r="65" spans="1:19" ht="25" customHeight="1">
      <c r="A65" s="7">
        <v>142</v>
      </c>
      <c r="B65" s="7" t="s">
        <v>18</v>
      </c>
      <c r="C65" s="7" t="s">
        <v>188</v>
      </c>
      <c r="D65" s="7"/>
      <c r="E65" s="7" t="s">
        <v>187</v>
      </c>
      <c r="F65" s="7">
        <v>4098</v>
      </c>
      <c r="G65" s="7">
        <v>1</v>
      </c>
      <c r="H65" s="7" t="s">
        <v>30</v>
      </c>
      <c r="I65" s="8" t="s">
        <v>22</v>
      </c>
      <c r="J65" s="9"/>
      <c r="K65" s="15" t="s">
        <v>37</v>
      </c>
      <c r="L65" s="10" t="s">
        <v>38</v>
      </c>
      <c r="M65" s="11"/>
      <c r="N65">
        <f t="shared" si="0"/>
        <v>2.0489999999999999</v>
      </c>
      <c r="O65" s="12" t="s">
        <v>133</v>
      </c>
    </row>
    <row r="66" spans="1:19" ht="25" customHeight="1">
      <c r="A66" s="7">
        <v>149</v>
      </c>
      <c r="B66" s="7" t="s">
        <v>18</v>
      </c>
      <c r="C66" s="7" t="s">
        <v>189</v>
      </c>
      <c r="D66" s="7"/>
      <c r="E66" s="7" t="s">
        <v>190</v>
      </c>
      <c r="F66" s="7">
        <v>3904</v>
      </c>
      <c r="G66" s="7">
        <v>1</v>
      </c>
      <c r="H66" s="7" t="s">
        <v>21</v>
      </c>
      <c r="I66" s="8" t="s">
        <v>22</v>
      </c>
      <c r="J66" s="9"/>
      <c r="K66" s="9" t="s">
        <v>191</v>
      </c>
      <c r="L66" s="10" t="s">
        <v>192</v>
      </c>
      <c r="M66" s="11"/>
      <c r="N66">
        <f t="shared" ref="N66:N78" si="1">SUM(F66/2000*G66)</f>
        <v>1.952</v>
      </c>
      <c r="O66" s="12" t="s">
        <v>133</v>
      </c>
    </row>
    <row r="67" spans="1:19" ht="25" customHeight="1">
      <c r="A67" s="7">
        <v>164</v>
      </c>
      <c r="B67" s="7" t="s">
        <v>18</v>
      </c>
      <c r="C67" s="7" t="s">
        <v>193</v>
      </c>
      <c r="D67" s="7"/>
      <c r="E67" s="7" t="s">
        <v>194</v>
      </c>
      <c r="F67" s="7">
        <v>3568</v>
      </c>
      <c r="G67" s="7">
        <v>1</v>
      </c>
      <c r="H67" s="7" t="s">
        <v>30</v>
      </c>
      <c r="I67" s="8" t="s">
        <v>22</v>
      </c>
      <c r="J67" s="9"/>
      <c r="K67" s="9" t="s">
        <v>46</v>
      </c>
      <c r="L67" s="10" t="s">
        <v>82</v>
      </c>
      <c r="M67" s="11"/>
      <c r="N67">
        <f t="shared" si="1"/>
        <v>1.784</v>
      </c>
      <c r="O67" s="12" t="s">
        <v>133</v>
      </c>
      <c r="P67" s="30">
        <v>46198</v>
      </c>
      <c r="Q67" s="12" t="s">
        <v>34</v>
      </c>
    </row>
    <row r="68" spans="1:19" ht="25" customHeight="1">
      <c r="A68" s="7">
        <v>116</v>
      </c>
      <c r="B68" s="7" t="s">
        <v>18</v>
      </c>
      <c r="C68" s="7" t="s">
        <v>195</v>
      </c>
      <c r="D68" s="7"/>
      <c r="E68" s="7" t="s">
        <v>196</v>
      </c>
      <c r="F68" s="7">
        <v>3390</v>
      </c>
      <c r="G68" s="7">
        <v>1</v>
      </c>
      <c r="H68" s="7" t="s">
        <v>30</v>
      </c>
      <c r="I68" s="8" t="s">
        <v>22</v>
      </c>
      <c r="J68" s="11"/>
      <c r="K68" s="11" t="s">
        <v>37</v>
      </c>
      <c r="L68" s="32" t="s">
        <v>197</v>
      </c>
      <c r="M68" s="11"/>
      <c r="N68">
        <f t="shared" si="1"/>
        <v>1.6950000000000001</v>
      </c>
      <c r="O68" s="12" t="s">
        <v>133</v>
      </c>
    </row>
    <row r="69" spans="1:19" ht="25" customHeight="1">
      <c r="A69" s="18">
        <v>187</v>
      </c>
      <c r="B69" s="18" t="s">
        <v>18</v>
      </c>
      <c r="C69" s="18" t="s">
        <v>198</v>
      </c>
      <c r="D69" s="18"/>
      <c r="E69" s="18" t="s">
        <v>76</v>
      </c>
      <c r="F69" s="18">
        <v>3221</v>
      </c>
      <c r="G69" s="18">
        <v>1</v>
      </c>
      <c r="H69" s="18" t="s">
        <v>50</v>
      </c>
      <c r="I69" s="19" t="s">
        <v>22</v>
      </c>
      <c r="J69" s="20"/>
      <c r="K69" s="20" t="s">
        <v>46</v>
      </c>
      <c r="L69" s="21" t="s">
        <v>77</v>
      </c>
      <c r="M69" s="22"/>
      <c r="N69" s="23">
        <f t="shared" si="1"/>
        <v>1.6105</v>
      </c>
      <c r="O69" s="24" t="s">
        <v>133</v>
      </c>
      <c r="R69" s="25" t="s">
        <v>66</v>
      </c>
    </row>
    <row r="70" spans="1:19" ht="25" customHeight="1">
      <c r="A70" s="7">
        <v>216</v>
      </c>
      <c r="B70" s="7" t="s">
        <v>18</v>
      </c>
      <c r="C70" s="7" t="s">
        <v>199</v>
      </c>
      <c r="D70" s="7"/>
      <c r="E70" s="7" t="s">
        <v>200</v>
      </c>
      <c r="F70" s="7">
        <v>2858</v>
      </c>
      <c r="G70" s="7">
        <v>1</v>
      </c>
      <c r="H70" s="7" t="s">
        <v>21</v>
      </c>
      <c r="I70" s="8" t="s">
        <v>22</v>
      </c>
      <c r="J70" s="9"/>
      <c r="K70" s="9" t="s">
        <v>37</v>
      </c>
      <c r="L70" s="10" t="s">
        <v>201</v>
      </c>
      <c r="M70" s="11"/>
      <c r="N70">
        <f t="shared" si="1"/>
        <v>1.429</v>
      </c>
      <c r="O70" s="12" t="s">
        <v>133</v>
      </c>
    </row>
    <row r="71" spans="1:19" ht="25" customHeight="1">
      <c r="A71" s="7">
        <v>236</v>
      </c>
      <c r="B71" s="7" t="s">
        <v>18</v>
      </c>
      <c r="C71" s="7" t="s">
        <v>202</v>
      </c>
      <c r="D71" s="7"/>
      <c r="E71" s="7" t="s">
        <v>203</v>
      </c>
      <c r="F71" s="7">
        <v>2646</v>
      </c>
      <c r="G71" s="7">
        <v>1</v>
      </c>
      <c r="H71" s="7" t="s">
        <v>21</v>
      </c>
      <c r="I71" s="8" t="s">
        <v>22</v>
      </c>
      <c r="J71" s="9"/>
      <c r="K71" s="9" t="s">
        <v>191</v>
      </c>
      <c r="L71" s="10" t="s">
        <v>192</v>
      </c>
      <c r="M71" s="11"/>
      <c r="N71">
        <f t="shared" si="1"/>
        <v>1.323</v>
      </c>
      <c r="O71" s="12" t="s">
        <v>133</v>
      </c>
    </row>
    <row r="72" spans="1:19" ht="25" customHeight="1">
      <c r="A72" s="7">
        <v>167</v>
      </c>
      <c r="B72" s="7" t="s">
        <v>18</v>
      </c>
      <c r="C72" s="7" t="s">
        <v>204</v>
      </c>
      <c r="D72" s="7"/>
      <c r="E72" s="7" t="s">
        <v>205</v>
      </c>
      <c r="F72" s="7">
        <v>2621</v>
      </c>
      <c r="G72" s="7">
        <v>1</v>
      </c>
      <c r="H72" s="7" t="s">
        <v>30</v>
      </c>
      <c r="I72" s="8" t="s">
        <v>22</v>
      </c>
      <c r="J72" s="11"/>
      <c r="K72" s="9" t="s">
        <v>46</v>
      </c>
      <c r="L72" s="32" t="s">
        <v>206</v>
      </c>
      <c r="M72" s="11"/>
      <c r="N72">
        <f t="shared" si="1"/>
        <v>1.3105</v>
      </c>
      <c r="O72" s="12" t="s">
        <v>133</v>
      </c>
      <c r="P72" s="30">
        <v>46198</v>
      </c>
      <c r="Q72" s="12" t="s">
        <v>34</v>
      </c>
    </row>
    <row r="73" spans="1:19" ht="25" customHeight="1">
      <c r="A73" s="18">
        <v>272</v>
      </c>
      <c r="B73" s="18" t="s">
        <v>18</v>
      </c>
      <c r="C73" s="18" t="s">
        <v>207</v>
      </c>
      <c r="D73" s="18"/>
      <c r="E73" s="18" t="s">
        <v>208</v>
      </c>
      <c r="F73" s="18">
        <v>2297</v>
      </c>
      <c r="G73" s="18">
        <v>1</v>
      </c>
      <c r="H73" s="18" t="s">
        <v>30</v>
      </c>
      <c r="I73" s="19" t="s">
        <v>22</v>
      </c>
      <c r="J73" s="20" t="s">
        <v>107</v>
      </c>
      <c r="K73" s="20" t="s">
        <v>46</v>
      </c>
      <c r="L73" s="21" t="s">
        <v>108</v>
      </c>
      <c r="M73" s="22"/>
      <c r="N73" s="23">
        <f t="shared" si="1"/>
        <v>1.1485000000000001</v>
      </c>
      <c r="O73" s="24" t="s">
        <v>133</v>
      </c>
      <c r="R73" s="25" t="s">
        <v>66</v>
      </c>
    </row>
    <row r="74" spans="1:19" ht="25" customHeight="1">
      <c r="A74" s="7">
        <v>275</v>
      </c>
      <c r="B74" s="7" t="s">
        <v>18</v>
      </c>
      <c r="C74" s="7" t="s">
        <v>209</v>
      </c>
      <c r="D74" s="7"/>
      <c r="E74" s="7" t="s">
        <v>210</v>
      </c>
      <c r="F74" s="7">
        <v>2282</v>
      </c>
      <c r="G74" s="7">
        <v>1</v>
      </c>
      <c r="H74" s="7" t="s">
        <v>50</v>
      </c>
      <c r="I74" s="8" t="s">
        <v>22</v>
      </c>
      <c r="J74" s="9"/>
      <c r="K74" s="9" t="s">
        <v>46</v>
      </c>
      <c r="L74" s="10" t="s">
        <v>168</v>
      </c>
      <c r="M74" s="11"/>
      <c r="N74">
        <f t="shared" si="1"/>
        <v>1.141</v>
      </c>
      <c r="O74" s="12" t="s">
        <v>133</v>
      </c>
      <c r="P74" s="14">
        <v>46198</v>
      </c>
      <c r="Q74" s="12" t="s">
        <v>34</v>
      </c>
    </row>
    <row r="75" spans="1:19" ht="25" customHeight="1">
      <c r="A75" s="7">
        <v>288</v>
      </c>
      <c r="B75" s="7" t="s">
        <v>18</v>
      </c>
      <c r="C75" s="7" t="s">
        <v>211</v>
      </c>
      <c r="D75" s="7"/>
      <c r="E75" s="7" t="s">
        <v>212</v>
      </c>
      <c r="F75" s="7">
        <v>2215</v>
      </c>
      <c r="G75" s="7">
        <v>1</v>
      </c>
      <c r="H75" s="7" t="s">
        <v>50</v>
      </c>
      <c r="I75" s="8" t="s">
        <v>22</v>
      </c>
      <c r="J75" s="9"/>
      <c r="K75" s="9" t="s">
        <v>46</v>
      </c>
      <c r="L75" s="10" t="s">
        <v>213</v>
      </c>
      <c r="M75" s="11"/>
      <c r="N75">
        <f t="shared" si="1"/>
        <v>1.1074999999999999</v>
      </c>
      <c r="O75" s="12" t="s">
        <v>133</v>
      </c>
      <c r="P75" s="14">
        <v>46198</v>
      </c>
      <c r="Q75" s="12" t="s">
        <v>34</v>
      </c>
    </row>
    <row r="76" spans="1:19" ht="25" customHeight="1">
      <c r="A76" s="7">
        <v>297</v>
      </c>
      <c r="B76" s="7" t="s">
        <v>18</v>
      </c>
      <c r="C76" s="7" t="s">
        <v>214</v>
      </c>
      <c r="D76" s="7"/>
      <c r="E76" s="7" t="s">
        <v>215</v>
      </c>
      <c r="F76" s="7">
        <v>2138</v>
      </c>
      <c r="G76" s="7">
        <v>1</v>
      </c>
      <c r="H76" s="7" t="s">
        <v>30</v>
      </c>
      <c r="I76" s="8" t="s">
        <v>22</v>
      </c>
      <c r="J76" s="9"/>
      <c r="K76" s="9" t="s">
        <v>37</v>
      </c>
      <c r="L76" s="10" t="s">
        <v>38</v>
      </c>
      <c r="M76" s="11"/>
      <c r="N76">
        <f t="shared" si="1"/>
        <v>1.069</v>
      </c>
      <c r="O76" s="12" t="s">
        <v>133</v>
      </c>
    </row>
    <row r="77" spans="1:19" ht="25" customHeight="1">
      <c r="A77" s="7">
        <v>298</v>
      </c>
      <c r="B77" s="7" t="s">
        <v>18</v>
      </c>
      <c r="C77" s="7" t="s">
        <v>216</v>
      </c>
      <c r="D77" s="7"/>
      <c r="E77" s="7" t="s">
        <v>217</v>
      </c>
      <c r="F77" s="7">
        <v>2136</v>
      </c>
      <c r="G77" s="7">
        <v>1</v>
      </c>
      <c r="H77" s="7" t="s">
        <v>30</v>
      </c>
      <c r="I77" s="8" t="s">
        <v>22</v>
      </c>
      <c r="J77" s="9"/>
      <c r="K77" s="9" t="s">
        <v>46</v>
      </c>
      <c r="L77" s="10" t="s">
        <v>218</v>
      </c>
      <c r="M77" s="11"/>
      <c r="N77">
        <f t="shared" si="1"/>
        <v>1.0680000000000001</v>
      </c>
      <c r="O77" s="12" t="s">
        <v>133</v>
      </c>
      <c r="P77" s="33"/>
    </row>
    <row r="78" spans="1:19" ht="25" customHeight="1">
      <c r="A78" s="7">
        <v>303</v>
      </c>
      <c r="B78" s="7" t="s">
        <v>18</v>
      </c>
      <c r="C78" s="7" t="s">
        <v>219</v>
      </c>
      <c r="D78" s="7"/>
      <c r="E78" s="7" t="s">
        <v>220</v>
      </c>
      <c r="F78" s="7">
        <v>2095</v>
      </c>
      <c r="G78" s="7">
        <v>1</v>
      </c>
      <c r="H78" s="7" t="s">
        <v>30</v>
      </c>
      <c r="I78" s="8" t="s">
        <v>22</v>
      </c>
      <c r="J78" s="9"/>
      <c r="K78" s="9" t="s">
        <v>46</v>
      </c>
      <c r="L78" s="10" t="s">
        <v>221</v>
      </c>
      <c r="M78" s="11"/>
      <c r="N78">
        <f t="shared" si="1"/>
        <v>1.0475000000000001</v>
      </c>
      <c r="O78" s="12" t="s">
        <v>133</v>
      </c>
      <c r="P78" s="14">
        <v>46198</v>
      </c>
      <c r="Q78" s="12" t="s">
        <v>34</v>
      </c>
    </row>
    <row r="79" spans="1:19" ht="25" customHeight="1">
      <c r="A79" s="34" t="s">
        <v>0</v>
      </c>
      <c r="B79" s="34" t="s">
        <v>1</v>
      </c>
      <c r="C79" s="34" t="s">
        <v>2</v>
      </c>
      <c r="D79" s="34" t="s">
        <v>222</v>
      </c>
      <c r="E79" s="34" t="s">
        <v>4</v>
      </c>
      <c r="F79" s="34" t="s">
        <v>5</v>
      </c>
      <c r="G79" s="34" t="s">
        <v>6</v>
      </c>
      <c r="H79" s="34" t="s">
        <v>7</v>
      </c>
      <c r="I79" s="35" t="s">
        <v>8</v>
      </c>
      <c r="J79" s="36" t="s">
        <v>9</v>
      </c>
      <c r="K79" s="3" t="s">
        <v>10</v>
      </c>
      <c r="L79" s="34" t="s">
        <v>11</v>
      </c>
      <c r="M79" s="1" t="s">
        <v>12</v>
      </c>
      <c r="N79" s="38" t="s">
        <v>13</v>
      </c>
      <c r="O79" s="38" t="s">
        <v>14</v>
      </c>
      <c r="P79" s="6" t="s">
        <v>15</v>
      </c>
      <c r="Q79" s="6" t="s">
        <v>16</v>
      </c>
      <c r="R79" s="6" t="s">
        <v>17</v>
      </c>
      <c r="S79" s="37" t="s">
        <v>223</v>
      </c>
    </row>
    <row r="80" spans="1:19" ht="25" customHeight="1">
      <c r="A80" s="39">
        <v>25</v>
      </c>
      <c r="B80" s="39" t="s">
        <v>18</v>
      </c>
      <c r="C80" s="39" t="s">
        <v>224</v>
      </c>
      <c r="D80" s="39"/>
      <c r="E80" s="39" t="s">
        <v>225</v>
      </c>
      <c r="F80" s="39">
        <v>26875</v>
      </c>
      <c r="G80" s="39">
        <v>1084</v>
      </c>
      <c r="H80" s="39" t="s">
        <v>21</v>
      </c>
      <c r="I80" s="40" t="s">
        <v>226</v>
      </c>
      <c r="J80" s="41" t="s">
        <v>227</v>
      </c>
      <c r="L80" s="42"/>
      <c r="N80" s="43">
        <f>SUM(F80/2000*G80)</f>
        <v>14566.25</v>
      </c>
      <c r="O80" s="44" t="s">
        <v>27</v>
      </c>
      <c r="S80" s="42">
        <v>4787</v>
      </c>
    </row>
    <row r="81" spans="1:19" ht="25" customHeight="1">
      <c r="A81" s="39">
        <v>81</v>
      </c>
      <c r="B81" s="39" t="s">
        <v>18</v>
      </c>
      <c r="C81" s="39" t="s">
        <v>228</v>
      </c>
      <c r="D81" s="39"/>
      <c r="E81" s="39" t="s">
        <v>229</v>
      </c>
      <c r="F81" s="39">
        <v>8261</v>
      </c>
      <c r="G81" s="39">
        <v>1995</v>
      </c>
      <c r="H81" s="39" t="s">
        <v>21</v>
      </c>
      <c r="I81" s="40" t="s">
        <v>226</v>
      </c>
      <c r="J81" s="41" t="s">
        <v>230</v>
      </c>
      <c r="L81" s="45"/>
      <c r="N81" s="43">
        <f>SUM(F81/2000*G81)</f>
        <v>8240.3474999999999</v>
      </c>
      <c r="O81" s="44" t="s">
        <v>27</v>
      </c>
      <c r="S81" s="45">
        <v>4630</v>
      </c>
    </row>
    <row r="82" spans="1:19" ht="25" customHeight="1">
      <c r="A82" s="39">
        <v>84</v>
      </c>
      <c r="B82" s="39" t="s">
        <v>18</v>
      </c>
      <c r="C82" s="39" t="s">
        <v>231</v>
      </c>
      <c r="D82" s="39"/>
      <c r="E82" s="39" t="s">
        <v>232</v>
      </c>
      <c r="F82" s="39">
        <v>7695</v>
      </c>
      <c r="G82" s="39">
        <v>334</v>
      </c>
      <c r="H82" s="39" t="s">
        <v>21</v>
      </c>
      <c r="I82" s="40" t="s">
        <v>226</v>
      </c>
      <c r="J82" s="41" t="s">
        <v>230</v>
      </c>
      <c r="L82" s="42"/>
      <c r="N82" s="43">
        <f>SUM(F82/2000*G82)</f>
        <v>1285.0650000000001</v>
      </c>
      <c r="O82" s="44" t="s">
        <v>27</v>
      </c>
      <c r="S82" s="42">
        <v>5377</v>
      </c>
    </row>
    <row r="83" spans="1:19" ht="25" customHeight="1">
      <c r="A83" s="46">
        <v>16</v>
      </c>
      <c r="B83" s="46" t="s">
        <v>18</v>
      </c>
      <c r="C83" s="46" t="s">
        <v>233</v>
      </c>
      <c r="D83" s="46"/>
      <c r="E83" s="46" t="s">
        <v>234</v>
      </c>
      <c r="F83" s="46">
        <v>33761</v>
      </c>
      <c r="G83" s="46">
        <v>44</v>
      </c>
      <c r="H83" s="46" t="s">
        <v>30</v>
      </c>
      <c r="I83" s="47" t="s">
        <v>226</v>
      </c>
      <c r="J83" s="48" t="s">
        <v>235</v>
      </c>
      <c r="L83" s="42"/>
      <c r="N83" s="43">
        <f>SUM(F83/2000*G83)</f>
        <v>742.74199999999996</v>
      </c>
      <c r="O83" s="44" t="s">
        <v>27</v>
      </c>
      <c r="S83" s="49">
        <v>38355</v>
      </c>
    </row>
    <row r="84" spans="1:19" ht="25" customHeight="1">
      <c r="A84" s="39">
        <v>2</v>
      </c>
      <c r="B84" s="39" t="s">
        <v>18</v>
      </c>
      <c r="C84" s="39" t="s">
        <v>236</v>
      </c>
      <c r="D84" s="39"/>
      <c r="E84" s="39" t="s">
        <v>237</v>
      </c>
      <c r="F84" s="39">
        <v>202805</v>
      </c>
      <c r="G84" s="39">
        <v>5</v>
      </c>
      <c r="H84" s="39" t="s">
        <v>50</v>
      </c>
      <c r="I84" s="40" t="s">
        <v>226</v>
      </c>
      <c r="J84" s="41" t="s">
        <v>238</v>
      </c>
      <c r="L84" s="42"/>
      <c r="N84" s="43">
        <f>SUM(F84/2000*G84)</f>
        <v>507.01249999999999</v>
      </c>
      <c r="O84" s="44" t="s">
        <v>27</v>
      </c>
      <c r="S84" s="42">
        <v>5736</v>
      </c>
    </row>
    <row r="85" spans="1:19" ht="25" customHeight="1">
      <c r="A85" s="39">
        <v>1</v>
      </c>
      <c r="B85" s="39" t="s">
        <v>18</v>
      </c>
      <c r="C85" s="39" t="s">
        <v>239</v>
      </c>
      <c r="D85" s="39"/>
      <c r="E85" s="39" t="s">
        <v>240</v>
      </c>
      <c r="F85" s="39">
        <v>436675</v>
      </c>
      <c r="G85" s="39">
        <v>2</v>
      </c>
      <c r="H85" s="39" t="s">
        <v>50</v>
      </c>
      <c r="I85" s="40" t="s">
        <v>226</v>
      </c>
      <c r="J85" s="41" t="s">
        <v>238</v>
      </c>
      <c r="L85" s="42"/>
      <c r="N85" s="43">
        <f>SUM(F85/2000*G85)</f>
        <v>436.67500000000001</v>
      </c>
      <c r="O85" s="44" t="s">
        <v>27</v>
      </c>
      <c r="S85" s="42">
        <v>6767</v>
      </c>
    </row>
    <row r="86" spans="1:19" ht="25" customHeight="1">
      <c r="A86" s="39">
        <v>162</v>
      </c>
      <c r="B86" s="39" t="s">
        <v>18</v>
      </c>
      <c r="C86" s="39" t="s">
        <v>241</v>
      </c>
      <c r="D86" s="39"/>
      <c r="E86" s="39" t="s">
        <v>242</v>
      </c>
      <c r="F86" s="39">
        <v>3575</v>
      </c>
      <c r="G86" s="39">
        <v>204</v>
      </c>
      <c r="H86" s="39" t="s">
        <v>81</v>
      </c>
      <c r="I86" s="40" t="s">
        <v>226</v>
      </c>
      <c r="J86" s="41" t="s">
        <v>238</v>
      </c>
      <c r="L86" s="42"/>
      <c r="N86" s="43">
        <f>SUM(F86/2000*G86)</f>
        <v>364.65</v>
      </c>
      <c r="O86" s="44" t="s">
        <v>27</v>
      </c>
      <c r="S86" s="42">
        <v>2294</v>
      </c>
    </row>
    <row r="87" spans="1:19" ht="25" customHeight="1">
      <c r="A87" s="46">
        <v>18</v>
      </c>
      <c r="B87" s="46" t="s">
        <v>18</v>
      </c>
      <c r="C87" s="46" t="s">
        <v>243</v>
      </c>
      <c r="D87" s="46"/>
      <c r="E87" s="46" t="s">
        <v>244</v>
      </c>
      <c r="F87" s="46">
        <v>31503</v>
      </c>
      <c r="G87" s="46">
        <v>22</v>
      </c>
      <c r="H87" s="46" t="s">
        <v>21</v>
      </c>
      <c r="I87" s="47" t="s">
        <v>226</v>
      </c>
      <c r="J87" s="48" t="s">
        <v>23</v>
      </c>
      <c r="L87" s="42"/>
      <c r="N87" s="43">
        <f>SUM(F87/2000*G87)</f>
        <v>346.53300000000002</v>
      </c>
      <c r="O87" s="44" t="s">
        <v>27</v>
      </c>
      <c r="S87" s="49">
        <v>176544</v>
      </c>
    </row>
    <row r="88" spans="1:19" ht="25" customHeight="1">
      <c r="A88" s="39">
        <v>148</v>
      </c>
      <c r="B88" s="39" t="s">
        <v>18</v>
      </c>
      <c r="C88" s="39" t="s">
        <v>245</v>
      </c>
      <c r="D88" s="39"/>
      <c r="E88" s="39" t="s">
        <v>246</v>
      </c>
      <c r="F88" s="39">
        <v>3908</v>
      </c>
      <c r="G88" s="39">
        <v>141</v>
      </c>
      <c r="H88" s="39" t="s">
        <v>30</v>
      </c>
      <c r="I88" s="40" t="s">
        <v>226</v>
      </c>
      <c r="J88" s="41" t="s">
        <v>247</v>
      </c>
      <c r="L88" s="42"/>
      <c r="N88" s="43">
        <f>SUM(F88/2000*G88)</f>
        <v>275.51400000000001</v>
      </c>
      <c r="O88" s="44" t="s">
        <v>27</v>
      </c>
      <c r="S88" s="44" t="s">
        <v>248</v>
      </c>
    </row>
    <row r="89" spans="1:19" ht="25" customHeight="1">
      <c r="A89" s="46">
        <v>160</v>
      </c>
      <c r="B89" s="46" t="s">
        <v>18</v>
      </c>
      <c r="C89" s="46" t="s">
        <v>249</v>
      </c>
      <c r="D89" s="46"/>
      <c r="E89" s="46" t="s">
        <v>237</v>
      </c>
      <c r="F89" s="46">
        <v>3615</v>
      </c>
      <c r="G89" s="46">
        <v>133</v>
      </c>
      <c r="H89" s="46" t="s">
        <v>30</v>
      </c>
      <c r="I89" s="47" t="s">
        <v>226</v>
      </c>
      <c r="J89" s="48" t="s">
        <v>238</v>
      </c>
      <c r="L89" s="42"/>
      <c r="N89" s="43">
        <f>SUM(F89/2000*G89)</f>
        <v>240.39750000000001</v>
      </c>
      <c r="O89" s="44" t="s">
        <v>27</v>
      </c>
      <c r="S89" s="49">
        <v>5094</v>
      </c>
    </row>
    <row r="90" spans="1:19" ht="25" customHeight="1">
      <c r="A90" s="39">
        <v>37</v>
      </c>
      <c r="B90" s="39" t="s">
        <v>18</v>
      </c>
      <c r="C90" s="39" t="s">
        <v>250</v>
      </c>
      <c r="D90" s="39"/>
      <c r="E90" s="39" t="s">
        <v>251</v>
      </c>
      <c r="F90" s="39">
        <v>20429</v>
      </c>
      <c r="G90" s="39">
        <v>20</v>
      </c>
      <c r="H90" s="39" t="s">
        <v>30</v>
      </c>
      <c r="I90" s="40" t="s">
        <v>226</v>
      </c>
      <c r="J90" s="41" t="s">
        <v>23</v>
      </c>
      <c r="L90" s="42"/>
      <c r="N90" s="43">
        <f>SUM(F90/2000*G90)</f>
        <v>204.29</v>
      </c>
      <c r="O90" s="44" t="s">
        <v>27</v>
      </c>
      <c r="S90" s="42">
        <v>2033</v>
      </c>
    </row>
    <row r="91" spans="1:19" ht="25" customHeight="1">
      <c r="A91" s="39">
        <v>250</v>
      </c>
      <c r="B91" s="39" t="s">
        <v>18</v>
      </c>
      <c r="C91" s="39" t="s">
        <v>252</v>
      </c>
      <c r="D91" s="39"/>
      <c r="E91" s="39" t="s">
        <v>253</v>
      </c>
      <c r="F91" s="39">
        <v>2501</v>
      </c>
      <c r="G91" s="39">
        <v>160</v>
      </c>
      <c r="H91" s="39" t="s">
        <v>30</v>
      </c>
      <c r="I91" s="40" t="s">
        <v>226</v>
      </c>
      <c r="J91" s="41" t="s">
        <v>247</v>
      </c>
      <c r="L91" s="42"/>
      <c r="N91" s="43">
        <f>SUM(F91/2000*G91)</f>
        <v>200.08</v>
      </c>
      <c r="O91" s="44" t="s">
        <v>27</v>
      </c>
      <c r="S91" s="44" t="s">
        <v>248</v>
      </c>
    </row>
    <row r="92" spans="1:19" ht="25" customHeight="1">
      <c r="A92" s="39">
        <v>104</v>
      </c>
      <c r="B92" s="39" t="s">
        <v>18</v>
      </c>
      <c r="C92" s="39" t="s">
        <v>254</v>
      </c>
      <c r="D92" s="39"/>
      <c r="E92" s="39" t="s">
        <v>255</v>
      </c>
      <c r="F92" s="39">
        <v>6144</v>
      </c>
      <c r="G92" s="39">
        <v>56</v>
      </c>
      <c r="H92" s="39" t="s">
        <v>30</v>
      </c>
      <c r="I92" s="40" t="s">
        <v>226</v>
      </c>
      <c r="J92" s="41" t="s">
        <v>23</v>
      </c>
      <c r="L92" s="42"/>
      <c r="N92" s="43">
        <f>SUM(F92/2000*G92)</f>
        <v>172.03200000000001</v>
      </c>
      <c r="O92" s="44" t="s">
        <v>27</v>
      </c>
      <c r="S92" s="44" t="s">
        <v>248</v>
      </c>
    </row>
    <row r="93" spans="1:19" ht="25" customHeight="1">
      <c r="A93" s="46">
        <v>237</v>
      </c>
      <c r="B93" s="46" t="s">
        <v>18</v>
      </c>
      <c r="C93" s="46" t="s">
        <v>256</v>
      </c>
      <c r="D93" s="46"/>
      <c r="E93" s="46" t="s">
        <v>257</v>
      </c>
      <c r="F93" s="46">
        <v>2632</v>
      </c>
      <c r="G93" s="46">
        <v>122</v>
      </c>
      <c r="H93" s="46" t="s">
        <v>21</v>
      </c>
      <c r="I93" s="47" t="s">
        <v>226</v>
      </c>
      <c r="J93" s="48" t="s">
        <v>258</v>
      </c>
      <c r="L93" s="42"/>
      <c r="N93" s="43">
        <f>SUM(F93/2000*G93)</f>
        <v>160.55199999999999</v>
      </c>
      <c r="O93" s="44" t="s">
        <v>27</v>
      </c>
      <c r="S93" s="49">
        <v>2903</v>
      </c>
    </row>
    <row r="94" spans="1:19" ht="25" customHeight="1">
      <c r="A94" s="46">
        <v>117</v>
      </c>
      <c r="B94" s="46" t="s">
        <v>18</v>
      </c>
      <c r="C94" s="46" t="s">
        <v>259</v>
      </c>
      <c r="D94" s="46"/>
      <c r="E94" s="46" t="s">
        <v>260</v>
      </c>
      <c r="F94" s="46">
        <v>5381</v>
      </c>
      <c r="G94" s="46">
        <v>56</v>
      </c>
      <c r="H94" s="46" t="s">
        <v>21</v>
      </c>
      <c r="I94" s="47" t="s">
        <v>226</v>
      </c>
      <c r="J94" s="48" t="s">
        <v>230</v>
      </c>
      <c r="L94" s="42"/>
      <c r="N94" s="43">
        <f>SUM(F94/2000*G94)</f>
        <v>150.66800000000001</v>
      </c>
      <c r="O94" s="44" t="s">
        <v>27</v>
      </c>
      <c r="S94" s="49">
        <v>3532</v>
      </c>
    </row>
    <row r="95" spans="1:19" ht="25" customHeight="1">
      <c r="A95" s="39">
        <v>112</v>
      </c>
      <c r="B95" s="39" t="s">
        <v>18</v>
      </c>
      <c r="C95" s="39" t="s">
        <v>261</v>
      </c>
      <c r="D95" s="39"/>
      <c r="E95" s="39" t="s">
        <v>262</v>
      </c>
      <c r="F95" s="39">
        <v>5676</v>
      </c>
      <c r="G95" s="39">
        <v>51</v>
      </c>
      <c r="H95" s="39" t="s">
        <v>30</v>
      </c>
      <c r="I95" s="40" t="s">
        <v>226</v>
      </c>
      <c r="J95" s="41" t="s">
        <v>23</v>
      </c>
      <c r="L95" s="42"/>
      <c r="N95" s="43">
        <f>SUM(F95/2000*G95)</f>
        <v>144.738</v>
      </c>
      <c r="O95" s="44" t="s">
        <v>27</v>
      </c>
      <c r="S95" s="44" t="s">
        <v>248</v>
      </c>
    </row>
    <row r="96" spans="1:19" ht="25" customHeight="1">
      <c r="A96" s="39">
        <v>231</v>
      </c>
      <c r="B96" s="39" t="s">
        <v>18</v>
      </c>
      <c r="C96" s="46" t="s">
        <v>263</v>
      </c>
      <c r="D96" s="46"/>
      <c r="E96" s="46" t="s">
        <v>264</v>
      </c>
      <c r="F96" s="46">
        <v>2713</v>
      </c>
      <c r="G96" s="46">
        <v>91</v>
      </c>
      <c r="H96" s="46" t="s">
        <v>50</v>
      </c>
      <c r="I96" s="47" t="s">
        <v>226</v>
      </c>
      <c r="J96" s="48" t="s">
        <v>23</v>
      </c>
      <c r="L96" s="42"/>
      <c r="N96" s="43">
        <f>SUM(F96/2000*G96)</f>
        <v>123.4415</v>
      </c>
      <c r="O96" s="44" t="s">
        <v>27</v>
      </c>
      <c r="S96" s="49">
        <v>3431</v>
      </c>
    </row>
    <row r="97" spans="1:19" ht="25" customHeight="1">
      <c r="A97" s="46">
        <v>269</v>
      </c>
      <c r="B97" s="46" t="s">
        <v>18</v>
      </c>
      <c r="C97" s="46" t="s">
        <v>265</v>
      </c>
      <c r="D97" s="46"/>
      <c r="E97" s="46" t="s">
        <v>264</v>
      </c>
      <c r="F97" s="46">
        <v>2354</v>
      </c>
      <c r="G97" s="46">
        <v>96</v>
      </c>
      <c r="H97" s="46" t="s">
        <v>30</v>
      </c>
      <c r="I97" s="47" t="s">
        <v>226</v>
      </c>
      <c r="J97" s="48" t="s">
        <v>23</v>
      </c>
      <c r="L97" s="42"/>
      <c r="N97" s="43">
        <f>SUM(F97/2000*G97)</f>
        <v>112.992</v>
      </c>
      <c r="O97" s="44" t="s">
        <v>27</v>
      </c>
      <c r="S97" s="49">
        <v>3961</v>
      </c>
    </row>
    <row r="98" spans="1:19" ht="25" customHeight="1">
      <c r="A98" s="39">
        <v>191</v>
      </c>
      <c r="B98" s="39" t="s">
        <v>18</v>
      </c>
      <c r="C98" s="39" t="s">
        <v>266</v>
      </c>
      <c r="D98" s="39"/>
      <c r="E98" s="39" t="s">
        <v>267</v>
      </c>
      <c r="F98" s="39">
        <v>3145</v>
      </c>
      <c r="G98" s="39">
        <v>71</v>
      </c>
      <c r="H98" s="39" t="s">
        <v>30</v>
      </c>
      <c r="I98" s="40" t="s">
        <v>226</v>
      </c>
      <c r="J98" s="41" t="s">
        <v>268</v>
      </c>
      <c r="L98" s="42"/>
      <c r="N98" s="43">
        <f>SUM(F98/2000*G98)</f>
        <v>111.64749999999999</v>
      </c>
      <c r="O98" s="44" t="s">
        <v>27</v>
      </c>
      <c r="S98" s="42"/>
    </row>
    <row r="99" spans="1:19" ht="25" customHeight="1">
      <c r="A99" s="39">
        <v>41</v>
      </c>
      <c r="B99" s="39" t="s">
        <v>18</v>
      </c>
      <c r="C99" s="39" t="s">
        <v>269</v>
      </c>
      <c r="D99" s="39"/>
      <c r="E99" s="39" t="s">
        <v>240</v>
      </c>
      <c r="F99" s="39">
        <v>18452</v>
      </c>
      <c r="G99" s="39">
        <v>11</v>
      </c>
      <c r="H99" s="39" t="s">
        <v>30</v>
      </c>
      <c r="I99" s="40" t="s">
        <v>226</v>
      </c>
      <c r="J99" s="41" t="s">
        <v>270</v>
      </c>
      <c r="L99" s="42"/>
      <c r="N99" s="43">
        <f>SUM(F99/2000*G99)</f>
        <v>101.486</v>
      </c>
      <c r="O99" s="44" t="s">
        <v>27</v>
      </c>
      <c r="S99" s="42">
        <v>2570</v>
      </c>
    </row>
    <row r="100" spans="1:19" ht="25" customHeight="1">
      <c r="A100" s="50">
        <v>7</v>
      </c>
      <c r="B100" s="50" t="s">
        <v>18</v>
      </c>
      <c r="C100" s="50" t="s">
        <v>271</v>
      </c>
      <c r="D100" s="50"/>
      <c r="E100" s="50" t="s">
        <v>272</v>
      </c>
      <c r="F100" s="50">
        <v>93472</v>
      </c>
      <c r="G100" s="50">
        <v>2</v>
      </c>
      <c r="H100" s="50" t="s">
        <v>50</v>
      </c>
      <c r="I100" s="51" t="s">
        <v>226</v>
      </c>
      <c r="J100" s="17"/>
      <c r="K100" s="52"/>
      <c r="L100" s="52" t="s">
        <v>273</v>
      </c>
      <c r="N100">
        <f>SUM(F100/2000*G100)</f>
        <v>93.471999999999994</v>
      </c>
      <c r="O100" s="12" t="s">
        <v>59</v>
      </c>
    </row>
    <row r="101" spans="1:19" ht="25" customHeight="1">
      <c r="A101" s="50">
        <v>57</v>
      </c>
      <c r="B101" s="50" t="s">
        <v>18</v>
      </c>
      <c r="C101" s="50" t="s">
        <v>274</v>
      </c>
      <c r="D101" s="50"/>
      <c r="E101" s="50" t="s">
        <v>275</v>
      </c>
      <c r="F101" s="50">
        <v>12767</v>
      </c>
      <c r="G101" s="50">
        <v>14</v>
      </c>
      <c r="H101" s="50" t="s">
        <v>30</v>
      </c>
      <c r="I101" s="51" t="s">
        <v>226</v>
      </c>
      <c r="J101" s="17" t="s">
        <v>23</v>
      </c>
      <c r="K101" s="52"/>
      <c r="L101" s="52"/>
      <c r="N101">
        <f>SUM(F101/2000*G101)</f>
        <v>89.369</v>
      </c>
      <c r="O101" s="12" t="s">
        <v>59</v>
      </c>
    </row>
    <row r="102" spans="1:19" ht="25" customHeight="1">
      <c r="A102" s="50">
        <v>3</v>
      </c>
      <c r="B102" s="50" t="s">
        <v>18</v>
      </c>
      <c r="C102" s="50" t="s">
        <v>276</v>
      </c>
      <c r="D102" s="50"/>
      <c r="E102" s="50" t="s">
        <v>277</v>
      </c>
      <c r="F102" s="50">
        <v>178575</v>
      </c>
      <c r="G102" s="50">
        <v>1</v>
      </c>
      <c r="H102" s="50" t="s">
        <v>50</v>
      </c>
      <c r="I102" s="51" t="s">
        <v>226</v>
      </c>
      <c r="J102" s="17" t="s">
        <v>278</v>
      </c>
      <c r="K102" s="52"/>
      <c r="L102" s="52"/>
      <c r="N102">
        <f>SUM(F102/2000*G102)</f>
        <v>89.287499999999994</v>
      </c>
      <c r="O102" s="12" t="s">
        <v>59</v>
      </c>
    </row>
    <row r="103" spans="1:19" ht="25" customHeight="1">
      <c r="A103" s="50">
        <v>93</v>
      </c>
      <c r="B103" s="50" t="s">
        <v>18</v>
      </c>
      <c r="C103" s="50" t="s">
        <v>279</v>
      </c>
      <c r="D103" s="50"/>
      <c r="E103" s="50" t="s">
        <v>280</v>
      </c>
      <c r="F103" s="50">
        <v>6990</v>
      </c>
      <c r="G103" s="50">
        <v>25</v>
      </c>
      <c r="H103" s="50" t="s">
        <v>50</v>
      </c>
      <c r="I103" s="51" t="s">
        <v>226</v>
      </c>
      <c r="J103" s="17" t="s">
        <v>23</v>
      </c>
      <c r="K103" s="52"/>
      <c r="L103" s="52"/>
      <c r="N103">
        <f>SUM(F103/2000*G103)</f>
        <v>87.375</v>
      </c>
      <c r="O103" s="12" t="s">
        <v>59</v>
      </c>
    </row>
    <row r="104" spans="1:19" ht="25" customHeight="1">
      <c r="A104" s="50">
        <v>4</v>
      </c>
      <c r="B104" s="50" t="s">
        <v>18</v>
      </c>
      <c r="C104" s="50" t="s">
        <v>281</v>
      </c>
      <c r="D104" s="50"/>
      <c r="E104" s="50" t="s">
        <v>282</v>
      </c>
      <c r="F104" s="50">
        <v>168978</v>
      </c>
      <c r="G104" s="50">
        <v>1</v>
      </c>
      <c r="H104" s="50" t="s">
        <v>50</v>
      </c>
      <c r="I104" s="51" t="s">
        <v>226</v>
      </c>
      <c r="J104" s="17" t="s">
        <v>278</v>
      </c>
      <c r="K104" s="52"/>
      <c r="L104" s="52"/>
      <c r="N104">
        <f>SUM(F104/2000*G104)</f>
        <v>84.489000000000004</v>
      </c>
      <c r="O104" s="12" t="s">
        <v>59</v>
      </c>
    </row>
    <row r="105" spans="1:19" ht="25" customHeight="1">
      <c r="A105" s="50">
        <v>203</v>
      </c>
      <c r="B105" s="50" t="s">
        <v>18</v>
      </c>
      <c r="C105" s="50" t="s">
        <v>283</v>
      </c>
      <c r="D105" s="50"/>
      <c r="E105" s="50" t="s">
        <v>284</v>
      </c>
      <c r="F105" s="50">
        <v>3000</v>
      </c>
      <c r="G105" s="50">
        <v>53</v>
      </c>
      <c r="H105" s="50" t="s">
        <v>50</v>
      </c>
      <c r="I105" s="51" t="s">
        <v>226</v>
      </c>
      <c r="J105" s="17" t="s">
        <v>23</v>
      </c>
      <c r="K105" s="52"/>
      <c r="L105" s="52"/>
      <c r="N105">
        <f>SUM(F105/2000*G105)</f>
        <v>79.5</v>
      </c>
      <c r="O105" s="12" t="s">
        <v>59</v>
      </c>
    </row>
    <row r="106" spans="1:19" ht="25" customHeight="1">
      <c r="A106" s="50">
        <v>138</v>
      </c>
      <c r="B106" s="50" t="s">
        <v>18</v>
      </c>
      <c r="C106" s="50" t="s">
        <v>285</v>
      </c>
      <c r="D106" s="50"/>
      <c r="E106" s="50" t="s">
        <v>286</v>
      </c>
      <c r="F106" s="50">
        <v>4297</v>
      </c>
      <c r="G106" s="50">
        <v>37</v>
      </c>
      <c r="H106" s="50" t="s">
        <v>21</v>
      </c>
      <c r="I106" s="51" t="s">
        <v>226</v>
      </c>
      <c r="J106" s="17" t="s">
        <v>107</v>
      </c>
      <c r="K106" s="52"/>
      <c r="L106" s="52"/>
      <c r="N106">
        <f>SUM(F106/2000*G106)</f>
        <v>79.494500000000002</v>
      </c>
      <c r="O106" s="12" t="s">
        <v>59</v>
      </c>
    </row>
    <row r="107" spans="1:19" ht="25" customHeight="1">
      <c r="A107" s="50">
        <v>294</v>
      </c>
      <c r="B107" s="50" t="s">
        <v>18</v>
      </c>
      <c r="C107" s="50" t="s">
        <v>287</v>
      </c>
      <c r="D107" s="50"/>
      <c r="E107" s="50" t="s">
        <v>288</v>
      </c>
      <c r="F107" s="50">
        <v>2150</v>
      </c>
      <c r="G107" s="50">
        <v>71</v>
      </c>
      <c r="H107" s="50" t="s">
        <v>30</v>
      </c>
      <c r="I107" s="51" t="s">
        <v>226</v>
      </c>
      <c r="J107" s="17" t="s">
        <v>23</v>
      </c>
      <c r="K107" s="52"/>
      <c r="L107" s="52"/>
      <c r="N107">
        <f>SUM(F107/2000*G107)</f>
        <v>76.325000000000003</v>
      </c>
      <c r="O107" s="12" t="s">
        <v>59</v>
      </c>
    </row>
    <row r="108" spans="1:19" ht="25" customHeight="1">
      <c r="A108" s="50">
        <v>194</v>
      </c>
      <c r="B108" s="50" t="s">
        <v>18</v>
      </c>
      <c r="C108" s="50" t="s">
        <v>289</v>
      </c>
      <c r="D108" s="50"/>
      <c r="E108" s="50" t="s">
        <v>290</v>
      </c>
      <c r="F108" s="50">
        <v>3124</v>
      </c>
      <c r="G108" s="50">
        <v>48</v>
      </c>
      <c r="H108" s="50" t="s">
        <v>21</v>
      </c>
      <c r="I108" s="51" t="s">
        <v>226</v>
      </c>
      <c r="J108" s="17" t="s">
        <v>291</v>
      </c>
      <c r="K108" s="52"/>
      <c r="L108" s="52"/>
      <c r="N108">
        <f>SUM(F108/2000*G108)</f>
        <v>74.975999999999999</v>
      </c>
      <c r="O108" s="12" t="s">
        <v>59</v>
      </c>
    </row>
    <row r="109" spans="1:19" ht="25" customHeight="1">
      <c r="A109" s="50">
        <v>5</v>
      </c>
      <c r="B109" s="50" t="s">
        <v>18</v>
      </c>
      <c r="C109" s="50" t="s">
        <v>292</v>
      </c>
      <c r="D109" s="50"/>
      <c r="E109" s="50" t="s">
        <v>293</v>
      </c>
      <c r="F109" s="50">
        <v>149376</v>
      </c>
      <c r="G109" s="50">
        <v>1</v>
      </c>
      <c r="H109" s="50" t="s">
        <v>50</v>
      </c>
      <c r="I109" s="51" t="s">
        <v>226</v>
      </c>
      <c r="J109" s="17" t="s">
        <v>23</v>
      </c>
      <c r="K109" s="52"/>
      <c r="L109" s="52"/>
      <c r="N109">
        <f>SUM(F109/2000*G109)</f>
        <v>74.688000000000002</v>
      </c>
      <c r="O109" s="12" t="s">
        <v>59</v>
      </c>
    </row>
    <row r="110" spans="1:19" ht="25" customHeight="1">
      <c r="A110" s="50">
        <v>193</v>
      </c>
      <c r="B110" s="50" t="s">
        <v>18</v>
      </c>
      <c r="C110" s="50" t="s">
        <v>294</v>
      </c>
      <c r="D110" s="50"/>
      <c r="E110" s="50" t="s">
        <v>295</v>
      </c>
      <c r="F110" s="50">
        <v>3129</v>
      </c>
      <c r="G110" s="50">
        <v>47</v>
      </c>
      <c r="H110" s="50" t="s">
        <v>30</v>
      </c>
      <c r="I110" s="51" t="s">
        <v>226</v>
      </c>
      <c r="J110" s="17" t="s">
        <v>23</v>
      </c>
      <c r="K110" s="52"/>
      <c r="L110" s="52"/>
      <c r="N110">
        <f>SUM(F110/2000*G110)</f>
        <v>73.531499999999994</v>
      </c>
      <c r="O110" s="12" t="s">
        <v>59</v>
      </c>
    </row>
    <row r="111" spans="1:19" ht="25" customHeight="1">
      <c r="A111" s="50">
        <v>167</v>
      </c>
      <c r="B111" s="50" t="s">
        <v>18</v>
      </c>
      <c r="C111" s="50" t="s">
        <v>296</v>
      </c>
      <c r="D111" s="50"/>
      <c r="E111" s="50" t="s">
        <v>297</v>
      </c>
      <c r="F111" s="50">
        <v>3519</v>
      </c>
      <c r="G111" s="50">
        <v>40</v>
      </c>
      <c r="H111" s="50" t="s">
        <v>30</v>
      </c>
      <c r="I111" s="51" t="s">
        <v>226</v>
      </c>
      <c r="J111" s="17" t="s">
        <v>230</v>
      </c>
      <c r="K111" s="52"/>
      <c r="L111" s="52"/>
      <c r="N111">
        <f>SUM(F111/2000*G111)</f>
        <v>70.38</v>
      </c>
      <c r="O111" s="12" t="s">
        <v>59</v>
      </c>
    </row>
    <row r="112" spans="1:19" ht="25" customHeight="1">
      <c r="A112" s="50">
        <v>220</v>
      </c>
      <c r="B112" s="50" t="s">
        <v>18</v>
      </c>
      <c r="C112" s="50" t="s">
        <v>298</v>
      </c>
      <c r="D112" s="50"/>
      <c r="E112" s="50" t="s">
        <v>299</v>
      </c>
      <c r="F112" s="50">
        <v>2803</v>
      </c>
      <c r="G112" s="50">
        <v>50</v>
      </c>
      <c r="H112" s="50" t="s">
        <v>21</v>
      </c>
      <c r="I112" s="51" t="s">
        <v>226</v>
      </c>
      <c r="J112" s="17" t="s">
        <v>300</v>
      </c>
      <c r="K112" s="52"/>
      <c r="L112" s="52"/>
      <c r="N112">
        <f>SUM(F112/2000*G112)</f>
        <v>70.075000000000003</v>
      </c>
      <c r="O112" s="12" t="s">
        <v>59</v>
      </c>
    </row>
    <row r="113" spans="1:15" ht="25" customHeight="1">
      <c r="A113" s="50">
        <v>44</v>
      </c>
      <c r="B113" s="50" t="s">
        <v>18</v>
      </c>
      <c r="C113" s="50" t="s">
        <v>301</v>
      </c>
      <c r="D113" s="50"/>
      <c r="E113" s="50" t="s">
        <v>302</v>
      </c>
      <c r="F113" s="50">
        <v>16666</v>
      </c>
      <c r="G113" s="50">
        <v>8</v>
      </c>
      <c r="H113" s="50" t="s">
        <v>50</v>
      </c>
      <c r="I113" s="51" t="s">
        <v>226</v>
      </c>
      <c r="J113" s="17" t="s">
        <v>23</v>
      </c>
      <c r="K113" s="52"/>
      <c r="L113" s="52"/>
      <c r="N113">
        <f>SUM(F113/2000*G113)</f>
        <v>66.664000000000001</v>
      </c>
      <c r="O113" s="12" t="s">
        <v>59</v>
      </c>
    </row>
    <row r="114" spans="1:15" ht="25" customHeight="1">
      <c r="A114" s="50">
        <v>184</v>
      </c>
      <c r="B114" s="50" t="s">
        <v>18</v>
      </c>
      <c r="C114" s="50" t="s">
        <v>303</v>
      </c>
      <c r="D114" s="50"/>
      <c r="E114" s="50" t="s">
        <v>304</v>
      </c>
      <c r="F114" s="50">
        <v>3273</v>
      </c>
      <c r="G114" s="50">
        <v>38</v>
      </c>
      <c r="H114" s="50" t="s">
        <v>30</v>
      </c>
      <c r="I114" s="51" t="s">
        <v>226</v>
      </c>
      <c r="J114" s="17" t="s">
        <v>23</v>
      </c>
      <c r="K114" s="52"/>
      <c r="L114" s="52"/>
      <c r="N114">
        <f>SUM(F114/2000*G114)</f>
        <v>62.186999999999998</v>
      </c>
      <c r="O114" s="12" t="s">
        <v>59</v>
      </c>
    </row>
    <row r="115" spans="1:15" ht="25" customHeight="1">
      <c r="A115" s="50">
        <v>176</v>
      </c>
      <c r="B115" s="50" t="s">
        <v>18</v>
      </c>
      <c r="C115" s="50" t="s">
        <v>305</v>
      </c>
      <c r="D115" s="50"/>
      <c r="E115" s="50" t="s">
        <v>284</v>
      </c>
      <c r="F115" s="50">
        <v>3393</v>
      </c>
      <c r="G115" s="50">
        <v>36</v>
      </c>
      <c r="H115" s="50" t="s">
        <v>30</v>
      </c>
      <c r="I115" s="51" t="s">
        <v>226</v>
      </c>
      <c r="J115" s="17" t="s">
        <v>23</v>
      </c>
      <c r="K115" s="52"/>
      <c r="L115" s="52"/>
      <c r="N115">
        <f>SUM(F115/2000*G115)</f>
        <v>61.073999999999998</v>
      </c>
      <c r="O115" s="12" t="s">
        <v>59</v>
      </c>
    </row>
    <row r="116" spans="1:15" ht="25" customHeight="1">
      <c r="A116" s="50">
        <v>10</v>
      </c>
      <c r="B116" s="50" t="s">
        <v>18</v>
      </c>
      <c r="C116" s="50" t="s">
        <v>306</v>
      </c>
      <c r="D116" s="50"/>
      <c r="E116" s="50" t="s">
        <v>307</v>
      </c>
      <c r="F116" s="50">
        <v>60634</v>
      </c>
      <c r="G116" s="50">
        <v>2</v>
      </c>
      <c r="H116" s="50" t="s">
        <v>50</v>
      </c>
      <c r="I116" s="51" t="s">
        <v>226</v>
      </c>
      <c r="J116" s="17" t="s">
        <v>238</v>
      </c>
      <c r="K116" s="52"/>
      <c r="L116" s="52"/>
      <c r="N116">
        <f>SUM(F116/2000*G116)</f>
        <v>60.634</v>
      </c>
      <c r="O116" s="12" t="s">
        <v>59</v>
      </c>
    </row>
    <row r="117" spans="1:15" ht="25" customHeight="1">
      <c r="A117" s="50">
        <v>218</v>
      </c>
      <c r="B117" s="50" t="s">
        <v>18</v>
      </c>
      <c r="C117" s="50" t="s">
        <v>308</v>
      </c>
      <c r="D117" s="50"/>
      <c r="E117" s="50" t="s">
        <v>295</v>
      </c>
      <c r="F117" s="50">
        <v>2819</v>
      </c>
      <c r="G117" s="50">
        <v>41</v>
      </c>
      <c r="H117" s="50" t="s">
        <v>50</v>
      </c>
      <c r="I117" s="51" t="s">
        <v>226</v>
      </c>
      <c r="J117" s="17" t="s">
        <v>23</v>
      </c>
      <c r="K117" s="52"/>
      <c r="L117" s="52"/>
      <c r="N117">
        <f>SUM(F117/2000*G117)</f>
        <v>57.789499999999997</v>
      </c>
      <c r="O117" s="12" t="s">
        <v>59</v>
      </c>
    </row>
    <row r="118" spans="1:15" ht="25" customHeight="1">
      <c r="A118" s="50">
        <v>289</v>
      </c>
      <c r="B118" s="50" t="s">
        <v>18</v>
      </c>
      <c r="C118" s="50" t="s">
        <v>309</v>
      </c>
      <c r="D118" s="50"/>
      <c r="E118" s="50" t="s">
        <v>288</v>
      </c>
      <c r="F118" s="50">
        <v>2214</v>
      </c>
      <c r="G118" s="50">
        <v>49</v>
      </c>
      <c r="H118" s="50" t="s">
        <v>50</v>
      </c>
      <c r="I118" s="51" t="s">
        <v>226</v>
      </c>
      <c r="J118" s="17" t="s">
        <v>23</v>
      </c>
      <c r="K118" s="52"/>
      <c r="L118" s="52"/>
      <c r="N118">
        <f>SUM(F118/2000*G118)</f>
        <v>54.243000000000002</v>
      </c>
      <c r="O118" s="12" t="s">
        <v>59</v>
      </c>
    </row>
    <row r="119" spans="1:15" ht="25" customHeight="1">
      <c r="A119" s="50">
        <v>103</v>
      </c>
      <c r="B119" s="50" t="s">
        <v>18</v>
      </c>
      <c r="C119" s="50" t="s">
        <v>310</v>
      </c>
      <c r="D119" s="50"/>
      <c r="E119" s="50" t="s">
        <v>311</v>
      </c>
      <c r="F119" s="50">
        <v>6268</v>
      </c>
      <c r="G119" s="50">
        <v>17</v>
      </c>
      <c r="H119" s="50" t="s">
        <v>50</v>
      </c>
      <c r="I119" s="51" t="s">
        <v>226</v>
      </c>
      <c r="J119" s="17" t="s">
        <v>23</v>
      </c>
      <c r="K119" s="52"/>
      <c r="L119" s="52"/>
      <c r="N119">
        <f>SUM(F119/2000*G119)</f>
        <v>53.277999999999999</v>
      </c>
      <c r="O119" s="12" t="s">
        <v>59</v>
      </c>
    </row>
    <row r="120" spans="1:15" ht="25" customHeight="1">
      <c r="A120" s="50">
        <v>36</v>
      </c>
      <c r="B120" s="50" t="s">
        <v>18</v>
      </c>
      <c r="C120" s="50" t="s">
        <v>312</v>
      </c>
      <c r="D120" s="50"/>
      <c r="E120" s="50" t="s">
        <v>313</v>
      </c>
      <c r="F120" s="50">
        <v>21074</v>
      </c>
      <c r="G120" s="50">
        <v>5</v>
      </c>
      <c r="H120" s="50" t="s">
        <v>50</v>
      </c>
      <c r="I120" s="51" t="s">
        <v>226</v>
      </c>
      <c r="J120" s="17" t="s">
        <v>23</v>
      </c>
      <c r="K120" s="52"/>
      <c r="L120" s="52"/>
      <c r="N120">
        <f>SUM(F120/2000*G120)</f>
        <v>52.685000000000002</v>
      </c>
      <c r="O120" s="12" t="s">
        <v>59</v>
      </c>
    </row>
    <row r="121" spans="1:15" ht="25" customHeight="1">
      <c r="A121" s="50">
        <v>239</v>
      </c>
      <c r="B121" s="50" t="s">
        <v>18</v>
      </c>
      <c r="C121" s="50" t="s">
        <v>314</v>
      </c>
      <c r="D121" s="50"/>
      <c r="E121" s="50" t="s">
        <v>315</v>
      </c>
      <c r="F121" s="50">
        <v>2627</v>
      </c>
      <c r="G121" s="50">
        <v>40</v>
      </c>
      <c r="H121" s="50" t="s">
        <v>30</v>
      </c>
      <c r="I121" s="51" t="s">
        <v>226</v>
      </c>
      <c r="J121" s="17" t="s">
        <v>247</v>
      </c>
      <c r="K121" s="52"/>
      <c r="L121" s="52"/>
      <c r="N121">
        <f>SUM(F121/2000*G121)</f>
        <v>52.54</v>
      </c>
      <c r="O121" s="12" t="s">
        <v>59</v>
      </c>
    </row>
    <row r="122" spans="1:15" ht="25" customHeight="1">
      <c r="A122" s="50">
        <v>87</v>
      </c>
      <c r="B122" s="50" t="s">
        <v>18</v>
      </c>
      <c r="C122" s="50" t="s">
        <v>316</v>
      </c>
      <c r="D122" s="50"/>
      <c r="E122" s="50" t="s">
        <v>317</v>
      </c>
      <c r="F122" s="50">
        <v>7631</v>
      </c>
      <c r="G122" s="50">
        <v>13</v>
      </c>
      <c r="H122" s="50" t="s">
        <v>30</v>
      </c>
      <c r="I122" s="51" t="s">
        <v>226</v>
      </c>
      <c r="J122" s="17" t="s">
        <v>23</v>
      </c>
      <c r="K122" s="52"/>
      <c r="L122" s="52"/>
      <c r="N122">
        <f>SUM(F122/2000*G122)</f>
        <v>49.601500000000001</v>
      </c>
      <c r="O122" s="12" t="s">
        <v>59</v>
      </c>
    </row>
    <row r="123" spans="1:15" ht="25" customHeight="1">
      <c r="A123" s="50">
        <v>222</v>
      </c>
      <c r="B123" s="50" t="s">
        <v>18</v>
      </c>
      <c r="C123" s="50" t="s">
        <v>318</v>
      </c>
      <c r="D123" s="50"/>
      <c r="E123" s="50" t="s">
        <v>319</v>
      </c>
      <c r="F123" s="50">
        <v>2781</v>
      </c>
      <c r="G123" s="50">
        <v>35</v>
      </c>
      <c r="H123" s="50" t="s">
        <v>50</v>
      </c>
      <c r="I123" s="51" t="s">
        <v>226</v>
      </c>
      <c r="J123" s="17" t="s">
        <v>320</v>
      </c>
      <c r="K123" s="52"/>
      <c r="L123" s="52"/>
      <c r="N123">
        <f>SUM(F123/2000*G123)</f>
        <v>48.667499999999997</v>
      </c>
      <c r="O123" s="12" t="s">
        <v>59</v>
      </c>
    </row>
    <row r="124" spans="1:15" ht="25" customHeight="1">
      <c r="A124" s="50">
        <v>45</v>
      </c>
      <c r="B124" s="50" t="s">
        <v>18</v>
      </c>
      <c r="C124" s="50" t="s">
        <v>321</v>
      </c>
      <c r="D124" s="50"/>
      <c r="E124" s="50" t="s">
        <v>322</v>
      </c>
      <c r="F124" s="50">
        <v>16163</v>
      </c>
      <c r="G124" s="50">
        <v>6</v>
      </c>
      <c r="H124" s="50" t="s">
        <v>50</v>
      </c>
      <c r="I124" s="51" t="s">
        <v>226</v>
      </c>
      <c r="J124" s="17" t="s">
        <v>23</v>
      </c>
      <c r="K124" s="52"/>
      <c r="L124" s="52"/>
      <c r="N124">
        <f>SUM(F124/2000*G124)</f>
        <v>48.488999999999997</v>
      </c>
      <c r="O124" s="12" t="s">
        <v>59</v>
      </c>
    </row>
    <row r="125" spans="1:15" ht="25" customHeight="1">
      <c r="A125" s="50">
        <v>53</v>
      </c>
      <c r="B125" s="50" t="s">
        <v>18</v>
      </c>
      <c r="C125" s="50" t="s">
        <v>323</v>
      </c>
      <c r="D125" s="50"/>
      <c r="E125" s="50" t="s">
        <v>324</v>
      </c>
      <c r="F125" s="50">
        <v>13677</v>
      </c>
      <c r="G125" s="50">
        <v>7</v>
      </c>
      <c r="H125" s="50" t="s">
        <v>30</v>
      </c>
      <c r="I125" s="51" t="s">
        <v>226</v>
      </c>
      <c r="J125" s="17" t="s">
        <v>238</v>
      </c>
      <c r="K125" s="52"/>
      <c r="L125" s="52"/>
      <c r="N125">
        <f>SUM(F125/2000*G125)</f>
        <v>47.869500000000002</v>
      </c>
      <c r="O125" s="12" t="s">
        <v>59</v>
      </c>
    </row>
    <row r="126" spans="1:15" ht="25" customHeight="1">
      <c r="A126" s="50">
        <v>83</v>
      </c>
      <c r="B126" s="50" t="s">
        <v>18</v>
      </c>
      <c r="C126" s="50" t="s">
        <v>325</v>
      </c>
      <c r="D126" s="50"/>
      <c r="E126" s="50" t="s">
        <v>326</v>
      </c>
      <c r="F126" s="50">
        <v>7910</v>
      </c>
      <c r="G126" s="50">
        <v>11</v>
      </c>
      <c r="H126" s="50" t="s">
        <v>30</v>
      </c>
      <c r="I126" s="51" t="s">
        <v>226</v>
      </c>
      <c r="J126" s="17" t="s">
        <v>23</v>
      </c>
      <c r="K126" s="52"/>
      <c r="L126" s="52"/>
      <c r="N126">
        <f>SUM(F126/2000*G126)</f>
        <v>43.505000000000003</v>
      </c>
      <c r="O126" s="12" t="s">
        <v>59</v>
      </c>
    </row>
    <row r="127" spans="1:15" ht="25" customHeight="1">
      <c r="A127" s="50">
        <v>144</v>
      </c>
      <c r="B127" s="50" t="s">
        <v>18</v>
      </c>
      <c r="C127" s="50" t="s">
        <v>327</v>
      </c>
      <c r="D127" s="50"/>
      <c r="E127" s="50" t="s">
        <v>328</v>
      </c>
      <c r="F127" s="50">
        <v>4078</v>
      </c>
      <c r="G127" s="50">
        <v>20</v>
      </c>
      <c r="H127" s="50" t="s">
        <v>50</v>
      </c>
      <c r="I127" s="51" t="s">
        <v>226</v>
      </c>
      <c r="J127" s="17" t="s">
        <v>23</v>
      </c>
      <c r="K127" s="52"/>
      <c r="L127" s="52"/>
      <c r="N127">
        <f>SUM(F127/2000*G127)</f>
        <v>40.78</v>
      </c>
      <c r="O127" s="12" t="s">
        <v>59</v>
      </c>
    </row>
    <row r="128" spans="1:15" ht="25" customHeight="1">
      <c r="A128" s="50">
        <v>116</v>
      </c>
      <c r="B128" s="50" t="s">
        <v>18</v>
      </c>
      <c r="C128" s="50" t="s">
        <v>329</v>
      </c>
      <c r="D128" s="50"/>
      <c r="E128" s="50" t="s">
        <v>330</v>
      </c>
      <c r="F128" s="50">
        <v>5431</v>
      </c>
      <c r="G128" s="50">
        <v>15</v>
      </c>
      <c r="H128" s="50" t="s">
        <v>21</v>
      </c>
      <c r="I128" s="51" t="s">
        <v>226</v>
      </c>
      <c r="J128" s="17" t="s">
        <v>23</v>
      </c>
      <c r="K128" s="52"/>
      <c r="L128" s="52"/>
      <c r="N128">
        <f>SUM(F128/2000*G128)</f>
        <v>40.732500000000002</v>
      </c>
      <c r="O128" s="12" t="s">
        <v>59</v>
      </c>
    </row>
    <row r="129" spans="1:15" ht="25" customHeight="1">
      <c r="A129" s="50">
        <v>245</v>
      </c>
      <c r="B129" s="50" t="s">
        <v>18</v>
      </c>
      <c r="C129" s="50" t="s">
        <v>331</v>
      </c>
      <c r="D129" s="50"/>
      <c r="E129" s="50" t="s">
        <v>332</v>
      </c>
      <c r="F129" s="50">
        <v>2543</v>
      </c>
      <c r="G129" s="50">
        <v>32</v>
      </c>
      <c r="H129" s="50" t="s">
        <v>50</v>
      </c>
      <c r="I129" s="51" t="s">
        <v>226</v>
      </c>
      <c r="J129" s="17" t="s">
        <v>270</v>
      </c>
      <c r="K129" s="52"/>
      <c r="L129" s="52"/>
      <c r="N129">
        <f>SUM(F129/2000*G129)</f>
        <v>40.688000000000002</v>
      </c>
      <c r="O129" s="12" t="s">
        <v>59</v>
      </c>
    </row>
    <row r="130" spans="1:15" ht="25" customHeight="1">
      <c r="A130" s="50">
        <v>126</v>
      </c>
      <c r="B130" s="50" t="s">
        <v>18</v>
      </c>
      <c r="C130" s="50" t="s">
        <v>333</v>
      </c>
      <c r="D130" s="50"/>
      <c r="E130" s="50" t="s">
        <v>328</v>
      </c>
      <c r="F130" s="50">
        <v>4619</v>
      </c>
      <c r="G130" s="50">
        <v>17</v>
      </c>
      <c r="H130" s="50" t="s">
        <v>30</v>
      </c>
      <c r="I130" s="51" t="s">
        <v>226</v>
      </c>
      <c r="J130" s="17" t="s">
        <v>23</v>
      </c>
      <c r="K130" s="52"/>
      <c r="L130" s="52"/>
      <c r="N130">
        <f>SUM(F130/2000*G130)</f>
        <v>39.261499999999998</v>
      </c>
      <c r="O130" s="12" t="s">
        <v>59</v>
      </c>
    </row>
    <row r="131" spans="1:15" ht="25" customHeight="1">
      <c r="A131" s="50">
        <v>9</v>
      </c>
      <c r="B131" s="50" t="s">
        <v>18</v>
      </c>
      <c r="C131" s="50" t="s">
        <v>334</v>
      </c>
      <c r="D131" s="50"/>
      <c r="E131" s="50" t="s">
        <v>335</v>
      </c>
      <c r="F131" s="50">
        <v>73499</v>
      </c>
      <c r="G131" s="50">
        <v>1</v>
      </c>
      <c r="H131" s="50" t="s">
        <v>30</v>
      </c>
      <c r="I131" s="51" t="s">
        <v>226</v>
      </c>
      <c r="J131" s="17" t="s">
        <v>238</v>
      </c>
      <c r="K131" s="52"/>
      <c r="L131" s="52"/>
      <c r="N131">
        <f>SUM(F131/2000*G131)</f>
        <v>36.749499999999998</v>
      </c>
      <c r="O131" s="12" t="s">
        <v>59</v>
      </c>
    </row>
    <row r="132" spans="1:15" ht="25" customHeight="1">
      <c r="A132" s="50">
        <v>300</v>
      </c>
      <c r="B132" s="50" t="s">
        <v>18</v>
      </c>
      <c r="C132" s="50" t="s">
        <v>336</v>
      </c>
      <c r="D132" s="50"/>
      <c r="E132" s="50" t="s">
        <v>337</v>
      </c>
      <c r="F132" s="50">
        <v>2123</v>
      </c>
      <c r="G132" s="50">
        <v>33</v>
      </c>
      <c r="H132" s="50" t="s">
        <v>30</v>
      </c>
      <c r="I132" s="51" t="s">
        <v>226</v>
      </c>
      <c r="J132" s="17" t="s">
        <v>23</v>
      </c>
      <c r="K132" s="52"/>
      <c r="L132" s="52"/>
      <c r="N132">
        <f>SUM(F132/2000*G132)</f>
        <v>35.029499999999999</v>
      </c>
      <c r="O132" s="12" t="s">
        <v>59</v>
      </c>
    </row>
    <row r="133" spans="1:15" ht="25" customHeight="1">
      <c r="A133" s="50">
        <v>246</v>
      </c>
      <c r="B133" s="50" t="s">
        <v>18</v>
      </c>
      <c r="C133" s="50" t="s">
        <v>338</v>
      </c>
      <c r="D133" s="50"/>
      <c r="E133" s="50" t="s">
        <v>237</v>
      </c>
      <c r="F133" s="50">
        <v>2540</v>
      </c>
      <c r="G133" s="50">
        <v>26</v>
      </c>
      <c r="H133" s="50" t="s">
        <v>339</v>
      </c>
      <c r="I133" s="51" t="s">
        <v>226</v>
      </c>
      <c r="J133" s="17" t="s">
        <v>238</v>
      </c>
      <c r="K133" s="52"/>
      <c r="L133" s="52"/>
      <c r="N133">
        <f>SUM(F133/2000*G133)</f>
        <v>33.020000000000003</v>
      </c>
      <c r="O133" s="12" t="s">
        <v>59</v>
      </c>
    </row>
    <row r="134" spans="1:15" ht="25" customHeight="1">
      <c r="A134" s="50">
        <v>177</v>
      </c>
      <c r="B134" s="50" t="s">
        <v>18</v>
      </c>
      <c r="C134" s="50" t="s">
        <v>340</v>
      </c>
      <c r="D134" s="50"/>
      <c r="E134" s="50" t="s">
        <v>341</v>
      </c>
      <c r="F134" s="50">
        <v>3392</v>
      </c>
      <c r="G134" s="50">
        <v>19</v>
      </c>
      <c r="H134" s="50" t="s">
        <v>30</v>
      </c>
      <c r="I134" s="51" t="s">
        <v>226</v>
      </c>
      <c r="J134" s="17" t="s">
        <v>230</v>
      </c>
      <c r="K134" s="52"/>
      <c r="L134" s="52"/>
      <c r="N134">
        <f>SUM(F134/2000*G134)</f>
        <v>32.223999999999997</v>
      </c>
      <c r="O134" s="12" t="s">
        <v>59</v>
      </c>
    </row>
    <row r="135" spans="1:15" ht="25" customHeight="1">
      <c r="A135" s="50">
        <v>197</v>
      </c>
      <c r="B135" s="50" t="s">
        <v>18</v>
      </c>
      <c r="C135" s="50" t="s">
        <v>342</v>
      </c>
      <c r="D135" s="50"/>
      <c r="E135" s="50" t="s">
        <v>343</v>
      </c>
      <c r="F135" s="50">
        <v>3042</v>
      </c>
      <c r="G135" s="50">
        <v>21</v>
      </c>
      <c r="H135" s="50" t="s">
        <v>21</v>
      </c>
      <c r="I135" s="51" t="s">
        <v>226</v>
      </c>
      <c r="J135" s="17" t="s">
        <v>23</v>
      </c>
      <c r="K135" s="52"/>
      <c r="L135" s="52"/>
      <c r="N135">
        <f>SUM(F135/2000*G135)</f>
        <v>31.940999999999999</v>
      </c>
      <c r="O135" s="12" t="s">
        <v>59</v>
      </c>
    </row>
    <row r="136" spans="1:15" ht="25" customHeight="1">
      <c r="A136" s="50">
        <v>127</v>
      </c>
      <c r="B136" s="50" t="s">
        <v>18</v>
      </c>
      <c r="C136" s="50" t="s">
        <v>344</v>
      </c>
      <c r="D136" s="50"/>
      <c r="E136" s="50" t="s">
        <v>345</v>
      </c>
      <c r="F136" s="50">
        <v>4608</v>
      </c>
      <c r="G136" s="50">
        <v>13</v>
      </c>
      <c r="H136" s="50" t="s">
        <v>30</v>
      </c>
      <c r="I136" s="51" t="s">
        <v>226</v>
      </c>
      <c r="J136" s="17" t="s">
        <v>346</v>
      </c>
      <c r="K136" s="52"/>
      <c r="L136" s="52"/>
      <c r="N136">
        <f>SUM(F136/2000*G136)</f>
        <v>29.952000000000002</v>
      </c>
      <c r="O136" s="12" t="s">
        <v>59</v>
      </c>
    </row>
    <row r="137" spans="1:15" ht="25" customHeight="1">
      <c r="A137" s="50">
        <v>12</v>
      </c>
      <c r="B137" s="50" t="s">
        <v>18</v>
      </c>
      <c r="C137" s="50" t="s">
        <v>347</v>
      </c>
      <c r="D137" s="50"/>
      <c r="E137" s="50" t="s">
        <v>348</v>
      </c>
      <c r="F137" s="50">
        <v>54399</v>
      </c>
      <c r="G137" s="50">
        <v>1</v>
      </c>
      <c r="H137" s="50" t="s">
        <v>50</v>
      </c>
      <c r="I137" s="51" t="s">
        <v>226</v>
      </c>
      <c r="J137" s="17" t="s">
        <v>23</v>
      </c>
      <c r="K137" s="52"/>
      <c r="L137" s="52"/>
      <c r="N137">
        <f>SUM(F137/2000*G137)</f>
        <v>27.1995</v>
      </c>
      <c r="O137" s="12" t="s">
        <v>59</v>
      </c>
    </row>
    <row r="138" spans="1:15" ht="25" customHeight="1">
      <c r="A138" s="50">
        <v>221</v>
      </c>
      <c r="B138" s="50" t="s">
        <v>18</v>
      </c>
      <c r="C138" s="50" t="s">
        <v>349</v>
      </c>
      <c r="D138" s="50"/>
      <c r="E138" s="50" t="s">
        <v>319</v>
      </c>
      <c r="F138" s="50">
        <v>2791</v>
      </c>
      <c r="G138" s="50">
        <v>18</v>
      </c>
      <c r="H138" s="50" t="s">
        <v>30</v>
      </c>
      <c r="I138" s="51" t="s">
        <v>226</v>
      </c>
      <c r="J138" s="17" t="s">
        <v>320</v>
      </c>
      <c r="K138" s="52"/>
      <c r="L138" s="52"/>
      <c r="N138">
        <f>SUM(F138/2000*G138)</f>
        <v>25.119</v>
      </c>
      <c r="O138" s="12" t="s">
        <v>59</v>
      </c>
    </row>
    <row r="139" spans="1:15" ht="25" customHeight="1">
      <c r="A139" s="50">
        <v>213</v>
      </c>
      <c r="B139" s="50" t="s">
        <v>18</v>
      </c>
      <c r="C139" s="50" t="s">
        <v>350</v>
      </c>
      <c r="D139" s="50"/>
      <c r="E139" s="50" t="s">
        <v>351</v>
      </c>
      <c r="F139" s="50">
        <v>2896</v>
      </c>
      <c r="G139" s="50">
        <v>17</v>
      </c>
      <c r="H139" s="50" t="s">
        <v>81</v>
      </c>
      <c r="I139" s="51" t="s">
        <v>226</v>
      </c>
      <c r="J139" s="17" t="s">
        <v>23</v>
      </c>
      <c r="K139" s="52"/>
      <c r="L139" s="52"/>
      <c r="N139">
        <f>SUM(F139/2000*G139)</f>
        <v>24.616</v>
      </c>
      <c r="O139" s="12" t="s">
        <v>59</v>
      </c>
    </row>
    <row r="140" spans="1:15" ht="25" customHeight="1">
      <c r="A140" s="50">
        <v>141</v>
      </c>
      <c r="B140" s="50" t="s">
        <v>18</v>
      </c>
      <c r="C140" s="50" t="s">
        <v>352</v>
      </c>
      <c r="D140" s="50"/>
      <c r="E140" s="50" t="s">
        <v>353</v>
      </c>
      <c r="F140" s="50">
        <v>4098</v>
      </c>
      <c r="G140" s="50">
        <v>11</v>
      </c>
      <c r="H140" s="50" t="s">
        <v>30</v>
      </c>
      <c r="I140" s="51" t="s">
        <v>226</v>
      </c>
      <c r="J140" s="17" t="s">
        <v>23</v>
      </c>
      <c r="K140" s="52"/>
      <c r="L140" s="52"/>
      <c r="N140">
        <f>SUM(F140/2000*G140)</f>
        <v>22.539000000000001</v>
      </c>
      <c r="O140" s="12" t="s">
        <v>59</v>
      </c>
    </row>
    <row r="141" spans="1:15" ht="25" customHeight="1">
      <c r="A141" s="50">
        <v>159</v>
      </c>
      <c r="B141" s="50" t="s">
        <v>18</v>
      </c>
      <c r="C141" s="50" t="s">
        <v>354</v>
      </c>
      <c r="D141" s="50"/>
      <c r="E141" s="50" t="s">
        <v>355</v>
      </c>
      <c r="F141" s="50">
        <v>3649</v>
      </c>
      <c r="G141" s="50">
        <v>12</v>
      </c>
      <c r="H141" s="50" t="s">
        <v>30</v>
      </c>
      <c r="I141" s="51" t="s">
        <v>226</v>
      </c>
      <c r="J141" s="17" t="s">
        <v>300</v>
      </c>
      <c r="K141" s="52"/>
      <c r="L141" s="52"/>
      <c r="N141">
        <f>SUM(F141/2000*G141)</f>
        <v>21.893999999999998</v>
      </c>
      <c r="O141" s="12" t="s">
        <v>59</v>
      </c>
    </row>
    <row r="142" spans="1:15" ht="25" customHeight="1">
      <c r="A142" s="50">
        <v>225</v>
      </c>
      <c r="B142" s="50" t="s">
        <v>18</v>
      </c>
      <c r="C142" s="50" t="s">
        <v>356</v>
      </c>
      <c r="D142" s="50"/>
      <c r="E142" s="50" t="s">
        <v>357</v>
      </c>
      <c r="F142" s="50">
        <v>2755</v>
      </c>
      <c r="G142" s="50">
        <v>14</v>
      </c>
      <c r="H142" s="50" t="s">
        <v>30</v>
      </c>
      <c r="I142" s="51" t="s">
        <v>226</v>
      </c>
      <c r="J142" s="17" t="s">
        <v>358</v>
      </c>
      <c r="K142" s="52"/>
      <c r="L142" s="52"/>
      <c r="N142">
        <f>SUM(F142/2000*G142)</f>
        <v>19.285</v>
      </c>
      <c r="O142" s="12" t="s">
        <v>59</v>
      </c>
    </row>
    <row r="143" spans="1:15" ht="25" customHeight="1">
      <c r="A143" s="50">
        <v>58</v>
      </c>
      <c r="B143" s="50" t="s">
        <v>18</v>
      </c>
      <c r="C143" s="50" t="s">
        <v>359</v>
      </c>
      <c r="D143" s="50"/>
      <c r="E143" s="50" t="s">
        <v>360</v>
      </c>
      <c r="F143" s="50">
        <v>11864</v>
      </c>
      <c r="G143" s="50">
        <v>3</v>
      </c>
      <c r="H143" s="50" t="s">
        <v>50</v>
      </c>
      <c r="I143" s="51" t="s">
        <v>226</v>
      </c>
      <c r="J143" s="17" t="s">
        <v>270</v>
      </c>
      <c r="K143" s="52"/>
      <c r="L143" s="52"/>
      <c r="N143">
        <f>SUM(F143/2000*G143)</f>
        <v>17.795999999999999</v>
      </c>
      <c r="O143" s="12" t="s">
        <v>59</v>
      </c>
    </row>
    <row r="144" spans="1:15" ht="25" customHeight="1">
      <c r="A144" s="50">
        <v>145</v>
      </c>
      <c r="B144" s="50" t="s">
        <v>18</v>
      </c>
      <c r="C144" s="50" t="s">
        <v>361</v>
      </c>
      <c r="D144" s="50"/>
      <c r="E144" s="50" t="s">
        <v>362</v>
      </c>
      <c r="F144" s="50">
        <v>4023</v>
      </c>
      <c r="G144" s="50">
        <v>8</v>
      </c>
      <c r="H144" s="50" t="s">
        <v>30</v>
      </c>
      <c r="I144" s="51" t="s">
        <v>226</v>
      </c>
      <c r="J144" s="17" t="s">
        <v>363</v>
      </c>
      <c r="K144" s="52"/>
      <c r="L144" s="52"/>
      <c r="N144">
        <f>SUM(F144/2000*G144)</f>
        <v>16.091999999999999</v>
      </c>
      <c r="O144" s="12" t="s">
        <v>59</v>
      </c>
    </row>
    <row r="145" spans="1:15" ht="25" customHeight="1">
      <c r="A145" s="50">
        <v>46</v>
      </c>
      <c r="B145" s="50" t="s">
        <v>18</v>
      </c>
      <c r="C145" s="50" t="s">
        <v>364</v>
      </c>
      <c r="D145" s="50"/>
      <c r="E145" s="50" t="s">
        <v>365</v>
      </c>
      <c r="F145" s="50">
        <v>16003</v>
      </c>
      <c r="G145" s="50">
        <v>2</v>
      </c>
      <c r="H145" s="50" t="s">
        <v>30</v>
      </c>
      <c r="I145" s="51" t="s">
        <v>226</v>
      </c>
      <c r="J145" s="17" t="s">
        <v>23</v>
      </c>
      <c r="K145" s="52"/>
      <c r="L145" s="52"/>
      <c r="N145">
        <f>SUM(F145/2000*G145)</f>
        <v>16.003</v>
      </c>
      <c r="O145" s="12" t="s">
        <v>59</v>
      </c>
    </row>
    <row r="146" spans="1:15" ht="25" customHeight="1">
      <c r="A146" s="50">
        <v>247</v>
      </c>
      <c r="B146" s="50" t="s">
        <v>18</v>
      </c>
      <c r="C146" s="50" t="s">
        <v>366</v>
      </c>
      <c r="D146" s="50"/>
      <c r="E146" s="50" t="s">
        <v>253</v>
      </c>
      <c r="F146" s="50">
        <v>2525</v>
      </c>
      <c r="G146" s="50">
        <v>12</v>
      </c>
      <c r="H146" s="50" t="s">
        <v>50</v>
      </c>
      <c r="I146" s="51" t="s">
        <v>226</v>
      </c>
      <c r="J146" s="17" t="s">
        <v>247</v>
      </c>
      <c r="K146" s="52"/>
      <c r="L146" s="52"/>
      <c r="N146">
        <f>SUM(F146/2000*G146)</f>
        <v>15.15</v>
      </c>
      <c r="O146" s="12" t="s">
        <v>59</v>
      </c>
    </row>
    <row r="147" spans="1:15" ht="25" customHeight="1">
      <c r="A147" s="50">
        <v>251</v>
      </c>
      <c r="B147" s="50" t="s">
        <v>18</v>
      </c>
      <c r="C147" s="50" t="s">
        <v>367</v>
      </c>
      <c r="D147" s="50"/>
      <c r="E147" s="50" t="s">
        <v>368</v>
      </c>
      <c r="F147" s="50">
        <v>2488</v>
      </c>
      <c r="G147" s="50">
        <v>12</v>
      </c>
      <c r="H147" s="50" t="s">
        <v>30</v>
      </c>
      <c r="I147" s="51" t="s">
        <v>226</v>
      </c>
      <c r="J147" s="17" t="s">
        <v>23</v>
      </c>
      <c r="K147" s="52"/>
      <c r="L147" s="52"/>
      <c r="N147">
        <f>SUM(F147/2000*G147)</f>
        <v>14.928000000000001</v>
      </c>
      <c r="O147" s="12" t="s">
        <v>59</v>
      </c>
    </row>
    <row r="148" spans="1:15" ht="25" customHeight="1">
      <c r="A148" s="50">
        <v>21</v>
      </c>
      <c r="B148" s="50" t="s">
        <v>18</v>
      </c>
      <c r="C148" s="50" t="s">
        <v>369</v>
      </c>
      <c r="D148" s="50"/>
      <c r="E148" s="50" t="s">
        <v>370</v>
      </c>
      <c r="F148" s="50">
        <v>29149</v>
      </c>
      <c r="G148" s="50">
        <v>1</v>
      </c>
      <c r="H148" s="50" t="s">
        <v>21</v>
      </c>
      <c r="I148" s="51" t="s">
        <v>226</v>
      </c>
      <c r="J148" s="17"/>
      <c r="K148" s="52"/>
      <c r="L148" s="52" t="s">
        <v>371</v>
      </c>
      <c r="N148">
        <f>SUM(F148/2000*G148)</f>
        <v>14.5745</v>
      </c>
      <c r="O148" s="12" t="s">
        <v>59</v>
      </c>
    </row>
    <row r="149" spans="1:15" ht="25" customHeight="1">
      <c r="A149" s="50">
        <v>76</v>
      </c>
      <c r="B149" s="50" t="s">
        <v>18</v>
      </c>
      <c r="C149" s="50" t="s">
        <v>372</v>
      </c>
      <c r="D149" s="50"/>
      <c r="E149" s="50" t="s">
        <v>373</v>
      </c>
      <c r="F149" s="50">
        <v>8444</v>
      </c>
      <c r="G149" s="50">
        <v>3</v>
      </c>
      <c r="H149" s="50" t="s">
        <v>50</v>
      </c>
      <c r="I149" s="51" t="s">
        <v>226</v>
      </c>
      <c r="J149" s="17" t="s">
        <v>374</v>
      </c>
      <c r="K149" s="52"/>
      <c r="L149" s="52"/>
      <c r="N149">
        <f>SUM(F149/2000*G149)</f>
        <v>12.666</v>
      </c>
      <c r="O149" s="12" t="s">
        <v>59</v>
      </c>
    </row>
    <row r="150" spans="1:15" ht="25" customHeight="1">
      <c r="A150" s="50">
        <v>253</v>
      </c>
      <c r="B150" s="50" t="s">
        <v>18</v>
      </c>
      <c r="C150" s="50" t="s">
        <v>375</v>
      </c>
      <c r="D150" s="50"/>
      <c r="E150" s="50" t="s">
        <v>376</v>
      </c>
      <c r="F150" s="50">
        <v>2477</v>
      </c>
      <c r="G150" s="50">
        <v>10</v>
      </c>
      <c r="H150" s="50" t="s">
        <v>30</v>
      </c>
      <c r="I150" s="51" t="s">
        <v>226</v>
      </c>
      <c r="J150" s="17" t="s">
        <v>278</v>
      </c>
      <c r="K150" s="52"/>
      <c r="L150" s="52"/>
      <c r="N150">
        <f>SUM(F150/2000*G150)</f>
        <v>12.385</v>
      </c>
      <c r="O150" s="12" t="s">
        <v>59</v>
      </c>
    </row>
    <row r="151" spans="1:15" ht="25" customHeight="1">
      <c r="A151" s="50">
        <v>124</v>
      </c>
      <c r="B151" s="50" t="s">
        <v>18</v>
      </c>
      <c r="C151" s="50" t="s">
        <v>377</v>
      </c>
      <c r="D151" s="50"/>
      <c r="E151" s="50" t="s">
        <v>246</v>
      </c>
      <c r="F151" s="50">
        <v>4798</v>
      </c>
      <c r="G151" s="50">
        <v>5</v>
      </c>
      <c r="H151" s="50" t="s">
        <v>50</v>
      </c>
      <c r="I151" s="51" t="s">
        <v>226</v>
      </c>
      <c r="J151" s="17" t="s">
        <v>247</v>
      </c>
      <c r="K151" s="52"/>
      <c r="L151" s="52"/>
      <c r="N151">
        <f>SUM(F151/2000*G151)</f>
        <v>11.994999999999999</v>
      </c>
      <c r="O151" s="12" t="s">
        <v>59</v>
      </c>
    </row>
    <row r="152" spans="1:15" ht="25" customHeight="1">
      <c r="A152" s="50">
        <v>175</v>
      </c>
      <c r="B152" s="50" t="s">
        <v>18</v>
      </c>
      <c r="C152" s="50" t="s">
        <v>378</v>
      </c>
      <c r="D152" s="50"/>
      <c r="E152" s="50" t="s">
        <v>379</v>
      </c>
      <c r="F152" s="50">
        <v>3398</v>
      </c>
      <c r="G152" s="50">
        <v>7</v>
      </c>
      <c r="H152" s="50" t="s">
        <v>30</v>
      </c>
      <c r="I152" s="51" t="s">
        <v>226</v>
      </c>
      <c r="J152" s="17" t="s">
        <v>380</v>
      </c>
      <c r="K152" s="52"/>
      <c r="L152" s="52"/>
      <c r="N152">
        <f>SUM(F152/2000*G152)</f>
        <v>11.893000000000001</v>
      </c>
      <c r="O152" s="12" t="s">
        <v>59</v>
      </c>
    </row>
    <row r="153" spans="1:15" ht="25" customHeight="1">
      <c r="A153" s="50">
        <v>59</v>
      </c>
      <c r="B153" s="50" t="s">
        <v>18</v>
      </c>
      <c r="C153" s="50" t="s">
        <v>381</v>
      </c>
      <c r="D153" s="50"/>
      <c r="E153" s="50" t="s">
        <v>382</v>
      </c>
      <c r="F153" s="50">
        <v>11119</v>
      </c>
      <c r="G153" s="50">
        <v>2</v>
      </c>
      <c r="H153" s="50" t="s">
        <v>21</v>
      </c>
      <c r="I153" s="51" t="s">
        <v>226</v>
      </c>
      <c r="J153" s="17" t="s">
        <v>230</v>
      </c>
      <c r="K153" s="52"/>
      <c r="L153" s="52"/>
      <c r="N153">
        <f>SUM(F153/2000*G153)</f>
        <v>11.119</v>
      </c>
      <c r="O153" s="12" t="s">
        <v>59</v>
      </c>
    </row>
    <row r="154" spans="1:15" ht="25" customHeight="1">
      <c r="A154" s="50">
        <v>181</v>
      </c>
      <c r="B154" s="50" t="s">
        <v>18</v>
      </c>
      <c r="C154" s="50" t="s">
        <v>383</v>
      </c>
      <c r="D154" s="50"/>
      <c r="E154" s="50" t="s">
        <v>384</v>
      </c>
      <c r="F154" s="50">
        <v>3348</v>
      </c>
      <c r="G154" s="50">
        <v>6</v>
      </c>
      <c r="H154" s="50" t="s">
        <v>50</v>
      </c>
      <c r="I154" s="51" t="s">
        <v>226</v>
      </c>
      <c r="J154" s="17" t="s">
        <v>23</v>
      </c>
      <c r="K154" s="52"/>
      <c r="L154" s="52"/>
      <c r="N154">
        <f>SUM(F154/2000*G154)</f>
        <v>10.044</v>
      </c>
      <c r="O154" s="12" t="s">
        <v>59</v>
      </c>
    </row>
    <row r="155" spans="1:15" ht="25" customHeight="1">
      <c r="A155" s="50">
        <v>190</v>
      </c>
      <c r="B155" s="50" t="s">
        <v>18</v>
      </c>
      <c r="C155" s="50" t="s">
        <v>385</v>
      </c>
      <c r="D155" s="50"/>
      <c r="E155" s="50" t="s">
        <v>386</v>
      </c>
      <c r="F155" s="50">
        <v>3161</v>
      </c>
      <c r="G155" s="50">
        <v>6</v>
      </c>
      <c r="H155" s="50" t="s">
        <v>30</v>
      </c>
      <c r="I155" s="51" t="s">
        <v>226</v>
      </c>
      <c r="J155" s="17" t="s">
        <v>230</v>
      </c>
      <c r="K155" s="52"/>
      <c r="L155" s="52"/>
      <c r="N155">
        <f>SUM(F155/2000*G155)</f>
        <v>9.4830000000000005</v>
      </c>
      <c r="O155" s="12" t="s">
        <v>133</v>
      </c>
    </row>
    <row r="156" spans="1:15" ht="25" customHeight="1">
      <c r="A156" s="50">
        <v>268</v>
      </c>
      <c r="B156" s="50" t="s">
        <v>18</v>
      </c>
      <c r="C156" s="50" t="s">
        <v>387</v>
      </c>
      <c r="D156" s="50"/>
      <c r="E156" s="50" t="s">
        <v>388</v>
      </c>
      <c r="F156" s="50">
        <v>2360</v>
      </c>
      <c r="G156" s="50">
        <v>8</v>
      </c>
      <c r="H156" s="50" t="s">
        <v>30</v>
      </c>
      <c r="I156" s="51" t="s">
        <v>226</v>
      </c>
      <c r="J156" s="17" t="s">
        <v>247</v>
      </c>
      <c r="K156" s="52"/>
      <c r="L156" s="52"/>
      <c r="N156">
        <f>SUM(F156/2000*G156)</f>
        <v>9.44</v>
      </c>
      <c r="O156" s="12" t="s">
        <v>133</v>
      </c>
    </row>
    <row r="157" spans="1:15" ht="25" customHeight="1">
      <c r="A157" s="50">
        <v>219</v>
      </c>
      <c r="B157" s="50" t="s">
        <v>18</v>
      </c>
      <c r="C157" s="50" t="s">
        <v>389</v>
      </c>
      <c r="D157" s="50"/>
      <c r="E157" s="50" t="s">
        <v>390</v>
      </c>
      <c r="F157" s="50">
        <v>2819</v>
      </c>
      <c r="G157" s="50">
        <v>6</v>
      </c>
      <c r="H157" s="50" t="s">
        <v>30</v>
      </c>
      <c r="I157" s="51" t="s">
        <v>226</v>
      </c>
      <c r="J157" s="17" t="s">
        <v>391</v>
      </c>
      <c r="K157" s="52"/>
      <c r="L157" s="52"/>
      <c r="N157">
        <f>SUM(F157/2000*G157)</f>
        <v>8.4570000000000007</v>
      </c>
      <c r="O157" s="12" t="s">
        <v>133</v>
      </c>
    </row>
    <row r="158" spans="1:15" ht="25" customHeight="1">
      <c r="A158" s="50">
        <v>186</v>
      </c>
      <c r="B158" s="50" t="s">
        <v>18</v>
      </c>
      <c r="C158" s="50" t="s">
        <v>392</v>
      </c>
      <c r="D158" s="50"/>
      <c r="E158" s="50" t="s">
        <v>393</v>
      </c>
      <c r="F158" s="50">
        <v>3242</v>
      </c>
      <c r="G158" s="50">
        <v>5</v>
      </c>
      <c r="H158" s="50" t="s">
        <v>50</v>
      </c>
      <c r="I158" s="51" t="s">
        <v>226</v>
      </c>
      <c r="J158" s="17" t="s">
        <v>358</v>
      </c>
      <c r="K158" s="52"/>
      <c r="L158" s="52"/>
      <c r="N158">
        <f>SUM(F158/2000*G158)</f>
        <v>8.1050000000000004</v>
      </c>
      <c r="O158" s="12" t="s">
        <v>133</v>
      </c>
    </row>
    <row r="159" spans="1:15" ht="25" customHeight="1">
      <c r="A159" s="50">
        <v>146</v>
      </c>
      <c r="B159" s="50" t="s">
        <v>18</v>
      </c>
      <c r="C159" s="50" t="s">
        <v>394</v>
      </c>
      <c r="D159" s="50"/>
      <c r="E159" s="50" t="s">
        <v>251</v>
      </c>
      <c r="F159" s="50">
        <v>4021</v>
      </c>
      <c r="G159" s="50">
        <v>4</v>
      </c>
      <c r="H159" s="50" t="s">
        <v>50</v>
      </c>
      <c r="I159" s="51" t="s">
        <v>226</v>
      </c>
      <c r="J159" s="17" t="s">
        <v>23</v>
      </c>
      <c r="K159" s="52"/>
      <c r="L159" s="52"/>
      <c r="N159">
        <f>SUM(F159/2000*G159)</f>
        <v>8.0419999999999998</v>
      </c>
      <c r="O159" s="12" t="s">
        <v>133</v>
      </c>
    </row>
    <row r="160" spans="1:15" ht="25" customHeight="1">
      <c r="A160" s="50">
        <v>147</v>
      </c>
      <c r="B160" s="50" t="s">
        <v>18</v>
      </c>
      <c r="C160" s="50" t="s">
        <v>395</v>
      </c>
      <c r="D160" s="50"/>
      <c r="E160" s="50" t="s">
        <v>353</v>
      </c>
      <c r="F160" s="50">
        <v>3988</v>
      </c>
      <c r="G160" s="50">
        <v>4</v>
      </c>
      <c r="H160" s="50" t="s">
        <v>50</v>
      </c>
      <c r="I160" s="51" t="s">
        <v>226</v>
      </c>
      <c r="J160" s="17" t="s">
        <v>23</v>
      </c>
      <c r="K160" s="52"/>
      <c r="L160" s="52"/>
      <c r="N160">
        <f>SUM(F160/2000*G160)</f>
        <v>7.976</v>
      </c>
      <c r="O160" s="12" t="s">
        <v>133</v>
      </c>
    </row>
    <row r="161" spans="1:15" ht="25" customHeight="1">
      <c r="A161" s="50">
        <v>150</v>
      </c>
      <c r="B161" s="50" t="s">
        <v>18</v>
      </c>
      <c r="C161" s="50" t="s">
        <v>396</v>
      </c>
      <c r="D161" s="50"/>
      <c r="E161" s="50" t="s">
        <v>242</v>
      </c>
      <c r="F161" s="50">
        <v>3877</v>
      </c>
      <c r="G161" s="50">
        <v>4</v>
      </c>
      <c r="H161" s="50" t="s">
        <v>30</v>
      </c>
      <c r="I161" s="51" t="s">
        <v>226</v>
      </c>
      <c r="J161" s="17" t="s">
        <v>238</v>
      </c>
      <c r="K161" s="52"/>
      <c r="L161" s="52"/>
      <c r="N161">
        <f>SUM(F161/2000*G161)</f>
        <v>7.7539999999999996</v>
      </c>
      <c r="O161" s="12" t="s">
        <v>133</v>
      </c>
    </row>
    <row r="162" spans="1:15" ht="25" customHeight="1">
      <c r="A162" s="50">
        <v>202</v>
      </c>
      <c r="B162" s="50" t="s">
        <v>18</v>
      </c>
      <c r="C162" s="50" t="s">
        <v>397</v>
      </c>
      <c r="D162" s="50"/>
      <c r="E162" s="50" t="s">
        <v>398</v>
      </c>
      <c r="F162" s="50">
        <v>3004</v>
      </c>
      <c r="G162" s="50">
        <v>5</v>
      </c>
      <c r="H162" s="50" t="s">
        <v>50</v>
      </c>
      <c r="I162" s="51" t="s">
        <v>226</v>
      </c>
      <c r="J162" s="17"/>
      <c r="K162" s="52"/>
      <c r="L162" s="52"/>
      <c r="N162">
        <f>SUM(F162/2000*G162)</f>
        <v>7.51</v>
      </c>
      <c r="O162" s="12" t="s">
        <v>133</v>
      </c>
    </row>
    <row r="163" spans="1:15" ht="25" customHeight="1">
      <c r="A163" s="50">
        <v>258</v>
      </c>
      <c r="B163" s="50" t="s">
        <v>18</v>
      </c>
      <c r="C163" s="50" t="s">
        <v>399</v>
      </c>
      <c r="D163" s="50"/>
      <c r="E163" s="50" t="s">
        <v>400</v>
      </c>
      <c r="F163" s="50">
        <v>2460</v>
      </c>
      <c r="G163" s="50">
        <v>6</v>
      </c>
      <c r="H163" s="50" t="s">
        <v>30</v>
      </c>
      <c r="I163" s="51" t="s">
        <v>226</v>
      </c>
      <c r="J163" s="17" t="s">
        <v>230</v>
      </c>
      <c r="K163" s="52"/>
      <c r="L163" s="52"/>
      <c r="N163">
        <f>SUM(F163/2000*G163)</f>
        <v>7.38</v>
      </c>
      <c r="O163" s="12" t="s">
        <v>133</v>
      </c>
    </row>
    <row r="164" spans="1:15" ht="25" customHeight="1">
      <c r="A164" s="50">
        <v>161</v>
      </c>
      <c r="B164" s="50" t="s">
        <v>18</v>
      </c>
      <c r="C164" s="50" t="s">
        <v>401</v>
      </c>
      <c r="D164" s="50"/>
      <c r="E164" s="50" t="s">
        <v>49</v>
      </c>
      <c r="F164" s="50">
        <v>3585</v>
      </c>
      <c r="G164" s="50">
        <v>4</v>
      </c>
      <c r="H164" s="50" t="s">
        <v>30</v>
      </c>
      <c r="I164" s="51" t="s">
        <v>226</v>
      </c>
      <c r="J164" s="17" t="s">
        <v>402</v>
      </c>
      <c r="K164" s="52"/>
      <c r="L164" s="52"/>
      <c r="N164">
        <f>SUM(F164/2000*G164)</f>
        <v>7.17</v>
      </c>
      <c r="O164" s="12" t="s">
        <v>133</v>
      </c>
    </row>
    <row r="165" spans="1:15" ht="25" customHeight="1">
      <c r="A165" s="50">
        <v>52</v>
      </c>
      <c r="B165" s="50" t="s">
        <v>18</v>
      </c>
      <c r="C165" s="50" t="s">
        <v>403</v>
      </c>
      <c r="D165" s="50"/>
      <c r="E165" s="50" t="s">
        <v>404</v>
      </c>
      <c r="F165" s="50">
        <v>13794</v>
      </c>
      <c r="G165" s="50">
        <v>1</v>
      </c>
      <c r="H165" s="50" t="s">
        <v>30</v>
      </c>
      <c r="I165" s="51" t="s">
        <v>226</v>
      </c>
      <c r="J165" s="17" t="s">
        <v>238</v>
      </c>
      <c r="K165" s="52"/>
      <c r="L165" s="52"/>
      <c r="N165">
        <f>SUM(F165/2000*G165)</f>
        <v>6.8970000000000002</v>
      </c>
      <c r="O165" s="12" t="s">
        <v>133</v>
      </c>
    </row>
    <row r="166" spans="1:15" ht="25" customHeight="1">
      <c r="A166" s="50">
        <v>180</v>
      </c>
      <c r="B166" s="50" t="s">
        <v>18</v>
      </c>
      <c r="C166" s="50" t="s">
        <v>405</v>
      </c>
      <c r="D166" s="50"/>
      <c r="E166" s="50" t="s">
        <v>406</v>
      </c>
      <c r="F166" s="50">
        <v>3357</v>
      </c>
      <c r="G166" s="50">
        <v>4</v>
      </c>
      <c r="H166" s="50" t="s">
        <v>30</v>
      </c>
      <c r="I166" s="51" t="s">
        <v>226</v>
      </c>
      <c r="J166" s="17" t="s">
        <v>23</v>
      </c>
      <c r="K166" s="52"/>
      <c r="L166" s="52"/>
      <c r="N166">
        <f>SUM(F166/2000*G166)</f>
        <v>6.7140000000000004</v>
      </c>
      <c r="O166" s="12" t="s">
        <v>133</v>
      </c>
    </row>
    <row r="167" spans="1:15" ht="25" customHeight="1">
      <c r="A167" s="50">
        <v>99</v>
      </c>
      <c r="B167" s="50" t="s">
        <v>18</v>
      </c>
      <c r="C167" s="50" t="s">
        <v>407</v>
      </c>
      <c r="D167" s="50"/>
      <c r="E167" s="50" t="s">
        <v>408</v>
      </c>
      <c r="F167" s="50">
        <v>6699</v>
      </c>
      <c r="G167" s="50">
        <v>2</v>
      </c>
      <c r="H167" s="50" t="s">
        <v>30</v>
      </c>
      <c r="I167" s="51" t="s">
        <v>226</v>
      </c>
      <c r="J167" s="17" t="s">
        <v>238</v>
      </c>
      <c r="K167" s="52"/>
      <c r="L167" s="52"/>
      <c r="N167">
        <f>SUM(F167/2000*G167)</f>
        <v>6.6989999999999998</v>
      </c>
      <c r="O167" s="12" t="s">
        <v>133</v>
      </c>
    </row>
    <row r="168" spans="1:15" ht="25" customHeight="1">
      <c r="A168" s="50">
        <v>55</v>
      </c>
      <c r="B168" s="50" t="s">
        <v>18</v>
      </c>
      <c r="C168" s="50" t="s">
        <v>409</v>
      </c>
      <c r="D168" s="50"/>
      <c r="E168" s="50" t="s">
        <v>410</v>
      </c>
      <c r="F168" s="50">
        <v>13253</v>
      </c>
      <c r="G168" s="50">
        <v>1</v>
      </c>
      <c r="H168" s="50" t="s">
        <v>30</v>
      </c>
      <c r="I168" s="51" t="s">
        <v>226</v>
      </c>
      <c r="J168" s="17" t="s">
        <v>23</v>
      </c>
      <c r="K168" s="52"/>
      <c r="L168" s="52"/>
      <c r="N168">
        <f>SUM(F168/2000*G168)</f>
        <v>6.6265000000000001</v>
      </c>
      <c r="O168" s="12" t="s">
        <v>133</v>
      </c>
    </row>
    <row r="169" spans="1:15" ht="25" customHeight="1">
      <c r="A169" s="50">
        <v>56</v>
      </c>
      <c r="B169" s="50" t="s">
        <v>18</v>
      </c>
      <c r="C169" s="50" t="s">
        <v>411</v>
      </c>
      <c r="D169" s="50"/>
      <c r="E169" s="50" t="s">
        <v>412</v>
      </c>
      <c r="F169" s="50">
        <v>12903</v>
      </c>
      <c r="G169" s="50">
        <v>1</v>
      </c>
      <c r="H169" s="50" t="s">
        <v>30</v>
      </c>
      <c r="I169" s="51" t="s">
        <v>226</v>
      </c>
      <c r="J169" s="17" t="s">
        <v>230</v>
      </c>
      <c r="K169" s="52"/>
      <c r="L169" s="52"/>
      <c r="N169">
        <f>SUM(F169/2000*G169)</f>
        <v>6.4515000000000002</v>
      </c>
      <c r="O169" s="12" t="s">
        <v>133</v>
      </c>
    </row>
    <row r="170" spans="1:15" ht="25" customHeight="1">
      <c r="A170" s="50">
        <v>254</v>
      </c>
      <c r="B170" s="50" t="s">
        <v>18</v>
      </c>
      <c r="C170" s="50" t="s">
        <v>413</v>
      </c>
      <c r="D170" s="50"/>
      <c r="E170" s="50" t="s">
        <v>414</v>
      </c>
      <c r="F170" s="50">
        <v>2477</v>
      </c>
      <c r="G170" s="50">
        <v>5</v>
      </c>
      <c r="H170" s="50" t="s">
        <v>30</v>
      </c>
      <c r="I170" s="51" t="s">
        <v>226</v>
      </c>
      <c r="J170" s="17"/>
      <c r="K170" s="52"/>
      <c r="L170" s="52"/>
      <c r="N170">
        <f>SUM(F170/2000*G170)</f>
        <v>6.1924999999999999</v>
      </c>
      <c r="O170" s="12" t="s">
        <v>133</v>
      </c>
    </row>
    <row r="171" spans="1:15" ht="25" customHeight="1">
      <c r="A171" s="50">
        <v>208</v>
      </c>
      <c r="B171" s="50" t="s">
        <v>18</v>
      </c>
      <c r="C171" s="50" t="s">
        <v>415</v>
      </c>
      <c r="D171" s="50"/>
      <c r="E171" s="50" t="s">
        <v>302</v>
      </c>
      <c r="F171" s="50">
        <v>2974</v>
      </c>
      <c r="G171" s="50">
        <v>4</v>
      </c>
      <c r="H171" s="50" t="s">
        <v>30</v>
      </c>
      <c r="I171" s="51" t="s">
        <v>226</v>
      </c>
      <c r="J171" s="17" t="s">
        <v>23</v>
      </c>
      <c r="K171" s="52"/>
      <c r="L171" s="52"/>
      <c r="N171">
        <f>SUM(F171/2000*G171)</f>
        <v>5.9480000000000004</v>
      </c>
      <c r="O171" s="12" t="s">
        <v>133</v>
      </c>
    </row>
    <row r="172" spans="1:15" ht="25" customHeight="1">
      <c r="A172" s="50">
        <v>209</v>
      </c>
      <c r="B172" s="50" t="s">
        <v>18</v>
      </c>
      <c r="C172" s="50" t="s">
        <v>416</v>
      </c>
      <c r="D172" s="50"/>
      <c r="E172" s="50" t="s">
        <v>417</v>
      </c>
      <c r="F172" s="50">
        <v>2972</v>
      </c>
      <c r="G172" s="50">
        <v>4</v>
      </c>
      <c r="H172" s="50" t="s">
        <v>50</v>
      </c>
      <c r="I172" s="51" t="s">
        <v>226</v>
      </c>
      <c r="J172" s="17"/>
      <c r="K172" s="52"/>
      <c r="L172" s="52"/>
      <c r="N172">
        <f>SUM(F172/2000*G172)</f>
        <v>5.944</v>
      </c>
      <c r="O172" s="12" t="s">
        <v>133</v>
      </c>
    </row>
    <row r="173" spans="1:15" ht="25" customHeight="1">
      <c r="A173" s="50">
        <v>217</v>
      </c>
      <c r="B173" s="50" t="s">
        <v>18</v>
      </c>
      <c r="C173" s="50" t="s">
        <v>418</v>
      </c>
      <c r="D173" s="50"/>
      <c r="E173" s="50" t="s">
        <v>419</v>
      </c>
      <c r="F173" s="50">
        <v>2849</v>
      </c>
      <c r="G173" s="50">
        <v>4</v>
      </c>
      <c r="H173" s="50" t="s">
        <v>50</v>
      </c>
      <c r="I173" s="51" t="s">
        <v>226</v>
      </c>
      <c r="J173" s="17"/>
      <c r="K173" s="52"/>
      <c r="L173" s="52"/>
      <c r="N173">
        <f>SUM(F173/2000*G173)</f>
        <v>5.6980000000000004</v>
      </c>
      <c r="O173" s="12" t="s">
        <v>133</v>
      </c>
    </row>
    <row r="174" spans="1:15" ht="25" customHeight="1">
      <c r="A174" s="50">
        <v>152</v>
      </c>
      <c r="B174" s="50" t="s">
        <v>18</v>
      </c>
      <c r="C174" s="50" t="s">
        <v>420</v>
      </c>
      <c r="D174" s="50"/>
      <c r="E174" s="50" t="s">
        <v>355</v>
      </c>
      <c r="F174" s="50">
        <v>3769</v>
      </c>
      <c r="G174" s="50">
        <v>3</v>
      </c>
      <c r="H174" s="50" t="s">
        <v>50</v>
      </c>
      <c r="I174" s="51" t="s">
        <v>226</v>
      </c>
      <c r="J174" s="17" t="s">
        <v>300</v>
      </c>
      <c r="K174" s="52"/>
      <c r="L174" s="52"/>
      <c r="N174">
        <f>SUM(F174/2000*G174)</f>
        <v>5.6535000000000002</v>
      </c>
      <c r="O174" s="12" t="s">
        <v>133</v>
      </c>
    </row>
    <row r="175" spans="1:15" ht="25" customHeight="1">
      <c r="A175" s="50">
        <v>113</v>
      </c>
      <c r="B175" s="50" t="s">
        <v>18</v>
      </c>
      <c r="C175" s="50" t="s">
        <v>421</v>
      </c>
      <c r="D175" s="50"/>
      <c r="E175" s="50" t="s">
        <v>101</v>
      </c>
      <c r="F175" s="50">
        <v>5595</v>
      </c>
      <c r="G175" s="50">
        <v>2</v>
      </c>
      <c r="H175" s="50" t="s">
        <v>30</v>
      </c>
      <c r="I175" s="51" t="s">
        <v>226</v>
      </c>
      <c r="J175" s="17" t="s">
        <v>422</v>
      </c>
      <c r="K175" s="52"/>
      <c r="L175" s="52"/>
      <c r="N175">
        <f>SUM(F175/2000*G175)</f>
        <v>5.5949999999999998</v>
      </c>
      <c r="O175" s="12" t="s">
        <v>133</v>
      </c>
    </row>
    <row r="176" spans="1:15" ht="25" customHeight="1">
      <c r="A176" s="50">
        <v>115</v>
      </c>
      <c r="B176" s="50" t="s">
        <v>18</v>
      </c>
      <c r="C176" s="50" t="s">
        <v>423</v>
      </c>
      <c r="D176" s="50"/>
      <c r="E176" s="50" t="s">
        <v>424</v>
      </c>
      <c r="F176" s="50">
        <v>5440</v>
      </c>
      <c r="G176" s="50">
        <v>2</v>
      </c>
      <c r="H176" s="50" t="s">
        <v>50</v>
      </c>
      <c r="I176" s="51" t="s">
        <v>226</v>
      </c>
      <c r="J176" s="17"/>
      <c r="K176" s="52"/>
      <c r="L176" s="52" t="s">
        <v>273</v>
      </c>
      <c r="N176">
        <f>SUM(F176/2000*G176)</f>
        <v>5.44</v>
      </c>
      <c r="O176" s="12" t="s">
        <v>133</v>
      </c>
    </row>
    <row r="177" spans="1:15" ht="25" customHeight="1">
      <c r="A177" s="50">
        <v>260</v>
      </c>
      <c r="B177" s="50" t="s">
        <v>18</v>
      </c>
      <c r="C177" s="50" t="s">
        <v>425</v>
      </c>
      <c r="D177" s="50"/>
      <c r="E177" s="50" t="s">
        <v>345</v>
      </c>
      <c r="F177" s="50">
        <v>2439</v>
      </c>
      <c r="G177" s="50">
        <v>4</v>
      </c>
      <c r="H177" s="50" t="s">
        <v>50</v>
      </c>
      <c r="I177" s="51" t="s">
        <v>226</v>
      </c>
      <c r="J177" s="17" t="s">
        <v>426</v>
      </c>
      <c r="K177" s="52"/>
      <c r="L177" s="52"/>
      <c r="N177">
        <f>SUM(F177/2000*G177)</f>
        <v>4.8780000000000001</v>
      </c>
      <c r="O177" s="12" t="s">
        <v>133</v>
      </c>
    </row>
    <row r="178" spans="1:15" ht="25" customHeight="1">
      <c r="A178" s="50">
        <v>266</v>
      </c>
      <c r="B178" s="50" t="s">
        <v>18</v>
      </c>
      <c r="C178" s="50" t="s">
        <v>427</v>
      </c>
      <c r="D178" s="50"/>
      <c r="E178" s="50" t="s">
        <v>428</v>
      </c>
      <c r="F178" s="50">
        <v>2380</v>
      </c>
      <c r="G178" s="50">
        <v>4</v>
      </c>
      <c r="H178" s="50" t="s">
        <v>30</v>
      </c>
      <c r="I178" s="51" t="s">
        <v>226</v>
      </c>
      <c r="J178" s="17" t="s">
        <v>23</v>
      </c>
      <c r="K178" s="52"/>
      <c r="L178" s="52"/>
      <c r="N178">
        <f>SUM(F178/2000*G178)</f>
        <v>4.76</v>
      </c>
      <c r="O178" s="12" t="s">
        <v>133</v>
      </c>
    </row>
    <row r="179" spans="1:15" ht="25" customHeight="1">
      <c r="A179" s="50">
        <v>270</v>
      </c>
      <c r="B179" s="50" t="s">
        <v>18</v>
      </c>
      <c r="C179" s="50" t="s">
        <v>429</v>
      </c>
      <c r="D179" s="50"/>
      <c r="E179" s="50" t="s">
        <v>430</v>
      </c>
      <c r="F179" s="50">
        <v>2326</v>
      </c>
      <c r="G179" s="50">
        <v>4</v>
      </c>
      <c r="H179" s="50" t="s">
        <v>21</v>
      </c>
      <c r="I179" s="51" t="s">
        <v>226</v>
      </c>
      <c r="J179" s="17" t="s">
        <v>431</v>
      </c>
      <c r="K179" s="52"/>
      <c r="L179" s="52"/>
      <c r="N179">
        <f>SUM(F179/2000*G179)</f>
        <v>4.6520000000000001</v>
      </c>
      <c r="O179" s="12" t="s">
        <v>133</v>
      </c>
    </row>
    <row r="180" spans="1:15" ht="25" customHeight="1">
      <c r="A180" s="50">
        <v>195</v>
      </c>
      <c r="B180" s="50" t="s">
        <v>18</v>
      </c>
      <c r="C180" s="50" t="s">
        <v>432</v>
      </c>
      <c r="D180" s="50"/>
      <c r="E180" s="50" t="s">
        <v>433</v>
      </c>
      <c r="F180" s="50">
        <v>3081</v>
      </c>
      <c r="G180" s="50">
        <v>3</v>
      </c>
      <c r="H180" s="50" t="s">
        <v>50</v>
      </c>
      <c r="I180" s="51" t="s">
        <v>226</v>
      </c>
      <c r="J180" s="17"/>
      <c r="K180" s="52"/>
      <c r="L180" s="52"/>
      <c r="N180">
        <f>SUM(F180/2000*G180)</f>
        <v>4.6215000000000002</v>
      </c>
      <c r="O180" s="12" t="s">
        <v>133</v>
      </c>
    </row>
    <row r="181" spans="1:15" ht="25" customHeight="1">
      <c r="A181" s="50">
        <v>277</v>
      </c>
      <c r="B181" s="50" t="s">
        <v>18</v>
      </c>
      <c r="C181" s="50" t="s">
        <v>434</v>
      </c>
      <c r="D181" s="50"/>
      <c r="E181" s="50" t="s">
        <v>324</v>
      </c>
      <c r="F181" s="50">
        <v>2267</v>
      </c>
      <c r="G181" s="50">
        <v>4</v>
      </c>
      <c r="H181" s="50" t="s">
        <v>339</v>
      </c>
      <c r="I181" s="51" t="s">
        <v>226</v>
      </c>
      <c r="J181" s="17" t="s">
        <v>238</v>
      </c>
      <c r="K181" s="52"/>
      <c r="L181" s="52"/>
      <c r="N181">
        <f>SUM(F181/2000*G181)</f>
        <v>4.5339999999999998</v>
      </c>
      <c r="O181" s="12" t="s">
        <v>133</v>
      </c>
    </row>
    <row r="182" spans="1:15" ht="25" customHeight="1">
      <c r="A182" s="50">
        <v>133</v>
      </c>
      <c r="B182" s="50" t="s">
        <v>18</v>
      </c>
      <c r="C182" s="50" t="s">
        <v>435</v>
      </c>
      <c r="D182" s="50"/>
      <c r="E182" s="50" t="s">
        <v>436</v>
      </c>
      <c r="F182" s="50">
        <v>4426</v>
      </c>
      <c r="G182" s="50">
        <v>2</v>
      </c>
      <c r="H182" s="50" t="s">
        <v>50</v>
      </c>
      <c r="I182" s="51" t="s">
        <v>226</v>
      </c>
      <c r="J182" s="17"/>
      <c r="K182" s="52"/>
      <c r="L182" s="52" t="s">
        <v>273</v>
      </c>
      <c r="N182">
        <f>SUM(F182/2000*G182)</f>
        <v>4.4260000000000002</v>
      </c>
      <c r="O182" s="12" t="s">
        <v>133</v>
      </c>
    </row>
    <row r="183" spans="1:15" ht="25" customHeight="1">
      <c r="A183" s="50">
        <v>290</v>
      </c>
      <c r="B183" s="50" t="s">
        <v>18</v>
      </c>
      <c r="C183" s="50" t="s">
        <v>437</v>
      </c>
      <c r="D183" s="50"/>
      <c r="E183" s="50" t="s">
        <v>438</v>
      </c>
      <c r="F183" s="50">
        <v>2197</v>
      </c>
      <c r="G183" s="50">
        <v>4</v>
      </c>
      <c r="H183" s="50" t="s">
        <v>30</v>
      </c>
      <c r="I183" s="51" t="s">
        <v>226</v>
      </c>
      <c r="J183" s="17" t="s">
        <v>23</v>
      </c>
      <c r="K183" s="52"/>
      <c r="L183" s="52"/>
      <c r="N183">
        <f>SUM(F183/2000*G183)</f>
        <v>4.3940000000000001</v>
      </c>
      <c r="O183" s="12" t="s">
        <v>133</v>
      </c>
    </row>
    <row r="184" spans="1:15" ht="25" customHeight="1">
      <c r="A184" s="50">
        <v>73</v>
      </c>
      <c r="B184" s="50" t="s">
        <v>18</v>
      </c>
      <c r="C184" s="50" t="s">
        <v>439</v>
      </c>
      <c r="D184" s="50"/>
      <c r="E184" s="50" t="s">
        <v>440</v>
      </c>
      <c r="F184" s="50">
        <v>8685</v>
      </c>
      <c r="G184" s="50">
        <v>1</v>
      </c>
      <c r="H184" s="50" t="s">
        <v>30</v>
      </c>
      <c r="I184" s="51" t="s">
        <v>226</v>
      </c>
      <c r="J184" s="17" t="s">
        <v>238</v>
      </c>
      <c r="K184" s="52"/>
      <c r="L184" s="52"/>
      <c r="N184">
        <f>SUM(F184/2000*G184)</f>
        <v>4.3425000000000002</v>
      </c>
      <c r="O184" s="12" t="s">
        <v>133</v>
      </c>
    </row>
    <row r="185" spans="1:15" ht="25" customHeight="1">
      <c r="A185" s="50">
        <v>226</v>
      </c>
      <c r="B185" s="50" t="s">
        <v>18</v>
      </c>
      <c r="C185" s="50" t="s">
        <v>441</v>
      </c>
      <c r="D185" s="50"/>
      <c r="E185" s="50" t="s">
        <v>442</v>
      </c>
      <c r="F185" s="50">
        <v>2746</v>
      </c>
      <c r="G185" s="50">
        <v>3</v>
      </c>
      <c r="H185" s="50" t="s">
        <v>30</v>
      </c>
      <c r="I185" s="51" t="s">
        <v>226</v>
      </c>
      <c r="J185" s="17" t="s">
        <v>443</v>
      </c>
      <c r="K185" s="52"/>
      <c r="L185" s="52"/>
      <c r="N185">
        <f>SUM(F185/2000*G185)</f>
        <v>4.1189999999999998</v>
      </c>
      <c r="O185" s="12" t="s">
        <v>133</v>
      </c>
    </row>
    <row r="186" spans="1:15" ht="25" customHeight="1">
      <c r="A186" s="50">
        <v>86</v>
      </c>
      <c r="B186" s="50" t="s">
        <v>18</v>
      </c>
      <c r="C186" s="50" t="s">
        <v>444</v>
      </c>
      <c r="D186" s="50"/>
      <c r="E186" s="50" t="s">
        <v>445</v>
      </c>
      <c r="F186" s="50">
        <v>7657</v>
      </c>
      <c r="G186" s="50">
        <v>1</v>
      </c>
      <c r="H186" s="50" t="s">
        <v>30</v>
      </c>
      <c r="I186" s="51" t="s">
        <v>226</v>
      </c>
      <c r="J186" s="17" t="s">
        <v>235</v>
      </c>
      <c r="K186" s="52"/>
      <c r="L186" s="52"/>
      <c r="N186">
        <f>SUM(F186/2000*G186)</f>
        <v>3.8285</v>
      </c>
      <c r="O186" s="12" t="s">
        <v>133</v>
      </c>
    </row>
    <row r="187" spans="1:15" ht="25" customHeight="1">
      <c r="A187" s="50">
        <v>255</v>
      </c>
      <c r="B187" s="50" t="s">
        <v>18</v>
      </c>
      <c r="C187" s="50" t="s">
        <v>446</v>
      </c>
      <c r="D187" s="50"/>
      <c r="E187" s="50" t="s">
        <v>447</v>
      </c>
      <c r="F187" s="50">
        <v>2474</v>
      </c>
      <c r="G187" s="50">
        <v>3</v>
      </c>
      <c r="H187" s="50" t="s">
        <v>30</v>
      </c>
      <c r="I187" s="51" t="s">
        <v>226</v>
      </c>
      <c r="J187" s="17" t="s">
        <v>247</v>
      </c>
      <c r="K187" s="52"/>
      <c r="L187" s="52"/>
      <c r="N187">
        <f>SUM(F187/2000*G187)</f>
        <v>3.7109999999999999</v>
      </c>
      <c r="O187" s="12" t="s">
        <v>133</v>
      </c>
    </row>
    <row r="188" spans="1:15" ht="25" customHeight="1">
      <c r="A188" s="50">
        <v>262</v>
      </c>
      <c r="B188" s="50" t="s">
        <v>18</v>
      </c>
      <c r="C188" s="50" t="s">
        <v>448</v>
      </c>
      <c r="D188" s="50"/>
      <c r="E188" s="50" t="s">
        <v>442</v>
      </c>
      <c r="F188" s="50">
        <v>2412</v>
      </c>
      <c r="G188" s="50">
        <v>3</v>
      </c>
      <c r="H188" s="50" t="s">
        <v>50</v>
      </c>
      <c r="I188" s="51" t="s">
        <v>226</v>
      </c>
      <c r="J188" s="17" t="s">
        <v>443</v>
      </c>
      <c r="K188" s="52"/>
      <c r="L188" s="52"/>
      <c r="N188">
        <f>SUM(F188/2000*G188)</f>
        <v>3.6179999999999999</v>
      </c>
      <c r="O188" s="12" t="s">
        <v>133</v>
      </c>
    </row>
    <row r="189" spans="1:15" ht="25" customHeight="1">
      <c r="A189" s="50">
        <v>170</v>
      </c>
      <c r="B189" s="50" t="s">
        <v>18</v>
      </c>
      <c r="C189" s="50" t="s">
        <v>449</v>
      </c>
      <c r="D189" s="50"/>
      <c r="E189" s="50" t="s">
        <v>450</v>
      </c>
      <c r="F189" s="50">
        <v>3493</v>
      </c>
      <c r="G189" s="50">
        <v>2</v>
      </c>
      <c r="H189" s="50" t="s">
        <v>21</v>
      </c>
      <c r="I189" s="51" t="s">
        <v>226</v>
      </c>
      <c r="J189" s="17" t="s">
        <v>451</v>
      </c>
      <c r="K189" s="52"/>
      <c r="L189" s="52"/>
      <c r="N189">
        <f>SUM(F189/2000*G189)</f>
        <v>3.4929999999999999</v>
      </c>
      <c r="O189" s="12" t="s">
        <v>133</v>
      </c>
    </row>
    <row r="190" spans="1:15" ht="25" customHeight="1">
      <c r="A190" s="50">
        <v>282</v>
      </c>
      <c r="B190" s="50" t="s">
        <v>18</v>
      </c>
      <c r="C190" s="50" t="s">
        <v>452</v>
      </c>
      <c r="D190" s="50"/>
      <c r="E190" s="50" t="s">
        <v>453</v>
      </c>
      <c r="F190" s="50">
        <v>2250</v>
      </c>
      <c r="G190" s="50">
        <v>3</v>
      </c>
      <c r="H190" s="50" t="s">
        <v>50</v>
      </c>
      <c r="I190" s="51" t="s">
        <v>226</v>
      </c>
      <c r="J190" s="17" t="s">
        <v>238</v>
      </c>
      <c r="K190" s="52"/>
      <c r="L190" s="52"/>
      <c r="N190">
        <f>SUM(F190/2000*G190)</f>
        <v>3.375</v>
      </c>
      <c r="O190" s="12" t="s">
        <v>133</v>
      </c>
    </row>
    <row r="191" spans="1:15" ht="25" customHeight="1">
      <c r="A191" s="50">
        <v>295</v>
      </c>
      <c r="B191" s="50" t="s">
        <v>18</v>
      </c>
      <c r="C191" s="50" t="s">
        <v>454</v>
      </c>
      <c r="D191" s="50"/>
      <c r="E191" s="50" t="s">
        <v>455</v>
      </c>
      <c r="F191" s="50">
        <v>2144</v>
      </c>
      <c r="G191" s="50">
        <v>3</v>
      </c>
      <c r="H191" s="50" t="s">
        <v>30</v>
      </c>
      <c r="I191" s="51" t="s">
        <v>226</v>
      </c>
      <c r="J191" s="17" t="s">
        <v>23</v>
      </c>
      <c r="K191" s="52"/>
      <c r="L191" s="52"/>
      <c r="N191">
        <f>SUM(F191/2000*G191)</f>
        <v>3.2160000000000002</v>
      </c>
      <c r="O191" s="12" t="s">
        <v>133</v>
      </c>
    </row>
    <row r="192" spans="1:15" ht="25" customHeight="1">
      <c r="A192" s="50">
        <v>100</v>
      </c>
      <c r="B192" s="50" t="s">
        <v>18</v>
      </c>
      <c r="C192" s="50" t="s">
        <v>456</v>
      </c>
      <c r="D192" s="50"/>
      <c r="E192" s="50" t="s">
        <v>457</v>
      </c>
      <c r="F192" s="50">
        <v>6409</v>
      </c>
      <c r="G192" s="50">
        <v>1</v>
      </c>
      <c r="H192" s="50" t="s">
        <v>21</v>
      </c>
      <c r="I192" s="51" t="s">
        <v>226</v>
      </c>
      <c r="J192" s="17" t="s">
        <v>230</v>
      </c>
      <c r="K192" s="52"/>
      <c r="L192" s="52"/>
      <c r="N192">
        <f>SUM(F192/2000*G192)</f>
        <v>3.2044999999999999</v>
      </c>
      <c r="O192" s="12" t="s">
        <v>133</v>
      </c>
    </row>
    <row r="193" spans="1:15" ht="25" customHeight="1">
      <c r="A193" s="50">
        <v>307</v>
      </c>
      <c r="B193" s="50" t="s">
        <v>18</v>
      </c>
      <c r="C193" s="50" t="s">
        <v>458</v>
      </c>
      <c r="D193" s="50"/>
      <c r="E193" s="50" t="s">
        <v>459</v>
      </c>
      <c r="F193" s="50">
        <v>2044</v>
      </c>
      <c r="G193" s="50">
        <v>3</v>
      </c>
      <c r="H193" s="50" t="s">
        <v>21</v>
      </c>
      <c r="I193" s="51" t="s">
        <v>226</v>
      </c>
      <c r="J193" s="17" t="s">
        <v>460</v>
      </c>
      <c r="K193" s="52"/>
      <c r="L193" s="52"/>
      <c r="N193">
        <f>SUM(F193/2000*G193)</f>
        <v>3.0659999999999998</v>
      </c>
      <c r="O193" s="12" t="s">
        <v>133</v>
      </c>
    </row>
    <row r="194" spans="1:15" ht="25" customHeight="1">
      <c r="A194" s="50">
        <v>108</v>
      </c>
      <c r="B194" s="50" t="s">
        <v>18</v>
      </c>
      <c r="C194" s="50" t="s">
        <v>461</v>
      </c>
      <c r="D194" s="50"/>
      <c r="E194" s="50" t="s">
        <v>462</v>
      </c>
      <c r="F194" s="50">
        <v>5887</v>
      </c>
      <c r="G194" s="50">
        <v>1</v>
      </c>
      <c r="H194" s="50" t="s">
        <v>30</v>
      </c>
      <c r="I194" s="51" t="s">
        <v>226</v>
      </c>
      <c r="J194" s="17" t="s">
        <v>23</v>
      </c>
      <c r="K194" s="52"/>
      <c r="L194" s="52"/>
      <c r="N194">
        <f>SUM(F194/2000*G194)</f>
        <v>2.9434999999999998</v>
      </c>
      <c r="O194" s="12" t="s">
        <v>133</v>
      </c>
    </row>
    <row r="195" spans="1:15" ht="25" customHeight="1">
      <c r="A195" s="50">
        <v>214</v>
      </c>
      <c r="B195" s="50" t="s">
        <v>18</v>
      </c>
      <c r="C195" s="50" t="s">
        <v>463</v>
      </c>
      <c r="D195" s="50"/>
      <c r="E195" s="50" t="s">
        <v>464</v>
      </c>
      <c r="F195" s="50">
        <v>2894</v>
      </c>
      <c r="G195" s="50">
        <v>2</v>
      </c>
      <c r="H195" s="50" t="s">
        <v>50</v>
      </c>
      <c r="I195" s="51" t="s">
        <v>226</v>
      </c>
      <c r="J195" s="17"/>
      <c r="K195" s="52"/>
      <c r="L195" s="52"/>
      <c r="N195">
        <f>SUM(F195/2000*G195)</f>
        <v>2.8940000000000001</v>
      </c>
      <c r="O195" s="12" t="s">
        <v>133</v>
      </c>
    </row>
    <row r="196" spans="1:15" ht="25" customHeight="1">
      <c r="A196" s="50">
        <v>233</v>
      </c>
      <c r="B196" s="50" t="s">
        <v>18</v>
      </c>
      <c r="C196" s="50" t="s">
        <v>465</v>
      </c>
      <c r="D196" s="50"/>
      <c r="E196" s="50" t="s">
        <v>466</v>
      </c>
      <c r="F196" s="50">
        <v>2698</v>
      </c>
      <c r="G196" s="50">
        <v>2</v>
      </c>
      <c r="H196" s="50" t="s">
        <v>30</v>
      </c>
      <c r="I196" s="51" t="s">
        <v>226</v>
      </c>
      <c r="J196" s="17" t="s">
        <v>23</v>
      </c>
      <c r="K196" s="52"/>
      <c r="L196" s="52"/>
      <c r="N196">
        <f>SUM(F196/2000*G196)</f>
        <v>2.698</v>
      </c>
      <c r="O196" s="12" t="s">
        <v>133</v>
      </c>
    </row>
    <row r="197" spans="1:15" ht="25" customHeight="1">
      <c r="A197" s="50">
        <v>119</v>
      </c>
      <c r="B197" s="50" t="s">
        <v>18</v>
      </c>
      <c r="C197" s="50" t="s">
        <v>467</v>
      </c>
      <c r="D197" s="50"/>
      <c r="E197" s="50" t="s">
        <v>468</v>
      </c>
      <c r="F197" s="50">
        <v>5280</v>
      </c>
      <c r="G197" s="50">
        <v>1</v>
      </c>
      <c r="H197" s="50" t="s">
        <v>21</v>
      </c>
      <c r="I197" s="51" t="s">
        <v>226</v>
      </c>
      <c r="J197" s="17" t="s">
        <v>230</v>
      </c>
      <c r="K197" s="52"/>
      <c r="L197" s="52"/>
      <c r="N197">
        <f>SUM(F197/2000*G197)</f>
        <v>2.64</v>
      </c>
      <c r="O197" s="12" t="s">
        <v>133</v>
      </c>
    </row>
    <row r="198" spans="1:15" ht="25" customHeight="1">
      <c r="A198" s="50">
        <v>238</v>
      </c>
      <c r="B198" s="50" t="s">
        <v>18</v>
      </c>
      <c r="C198" s="50" t="s">
        <v>469</v>
      </c>
      <c r="D198" s="50"/>
      <c r="E198" s="50" t="s">
        <v>470</v>
      </c>
      <c r="F198" s="50">
        <v>2629</v>
      </c>
      <c r="G198" s="50">
        <v>2</v>
      </c>
      <c r="H198" s="50" t="s">
        <v>30</v>
      </c>
      <c r="I198" s="51" t="s">
        <v>226</v>
      </c>
      <c r="J198" s="17" t="s">
        <v>300</v>
      </c>
      <c r="K198" s="52"/>
      <c r="L198" s="52"/>
      <c r="N198">
        <f>SUM(F198/2000*G198)</f>
        <v>2.629</v>
      </c>
      <c r="O198" s="12" t="s">
        <v>133</v>
      </c>
    </row>
    <row r="199" spans="1:15" ht="25" customHeight="1">
      <c r="A199" s="50">
        <v>242</v>
      </c>
      <c r="B199" s="50" t="s">
        <v>18</v>
      </c>
      <c r="C199" s="50" t="s">
        <v>471</v>
      </c>
      <c r="D199" s="50"/>
      <c r="E199" s="50" t="s">
        <v>472</v>
      </c>
      <c r="F199" s="50">
        <v>2598</v>
      </c>
      <c r="G199" s="50">
        <v>2</v>
      </c>
      <c r="H199" s="50" t="s">
        <v>30</v>
      </c>
      <c r="I199" s="51" t="s">
        <v>226</v>
      </c>
      <c r="J199" s="17" t="s">
        <v>473</v>
      </c>
      <c r="K199" s="52"/>
      <c r="L199" s="52"/>
      <c r="N199">
        <f>SUM(F199/2000*G199)</f>
        <v>2.5979999999999999</v>
      </c>
      <c r="O199" s="12" t="s">
        <v>133</v>
      </c>
    </row>
    <row r="200" spans="1:15" ht="25" customHeight="1">
      <c r="A200" s="50">
        <v>244</v>
      </c>
      <c r="B200" s="50" t="s">
        <v>18</v>
      </c>
      <c r="C200" s="50" t="s">
        <v>474</v>
      </c>
      <c r="D200" s="50"/>
      <c r="E200" s="50" t="s">
        <v>475</v>
      </c>
      <c r="F200" s="50">
        <v>2561</v>
      </c>
      <c r="G200" s="50">
        <v>2</v>
      </c>
      <c r="H200" s="50" t="s">
        <v>81</v>
      </c>
      <c r="I200" s="51" t="s">
        <v>226</v>
      </c>
      <c r="J200" s="17" t="s">
        <v>23</v>
      </c>
      <c r="K200" s="52"/>
      <c r="L200" s="52"/>
      <c r="N200">
        <f>SUM(F200/2000*G200)</f>
        <v>2.5609999999999999</v>
      </c>
      <c r="O200" s="12" t="s">
        <v>133</v>
      </c>
    </row>
    <row r="201" spans="1:15" ht="25" customHeight="1">
      <c r="A201" s="50">
        <v>249</v>
      </c>
      <c r="B201" s="50" t="s">
        <v>18</v>
      </c>
      <c r="C201" s="50" t="s">
        <v>476</v>
      </c>
      <c r="D201" s="50"/>
      <c r="E201" s="50" t="s">
        <v>388</v>
      </c>
      <c r="F201" s="50">
        <v>2516</v>
      </c>
      <c r="G201" s="50">
        <v>2</v>
      </c>
      <c r="H201" s="50" t="s">
        <v>50</v>
      </c>
      <c r="I201" s="51" t="s">
        <v>226</v>
      </c>
      <c r="J201" s="17" t="s">
        <v>247</v>
      </c>
      <c r="K201" s="52"/>
      <c r="L201" s="52"/>
      <c r="N201">
        <f>SUM(F201/2000*G201)</f>
        <v>2.516</v>
      </c>
      <c r="O201" s="12" t="s">
        <v>133</v>
      </c>
    </row>
    <row r="202" spans="1:15" ht="25" customHeight="1">
      <c r="A202" s="50">
        <v>121</v>
      </c>
      <c r="B202" s="50" t="s">
        <v>18</v>
      </c>
      <c r="C202" s="50" t="s">
        <v>477</v>
      </c>
      <c r="D202" s="50"/>
      <c r="E202" s="50" t="s">
        <v>478</v>
      </c>
      <c r="F202" s="50">
        <v>5013</v>
      </c>
      <c r="G202" s="50">
        <v>1</v>
      </c>
      <c r="H202" s="50" t="s">
        <v>21</v>
      </c>
      <c r="I202" s="51" t="s">
        <v>226</v>
      </c>
      <c r="J202" s="17" t="s">
        <v>479</v>
      </c>
      <c r="K202" s="52"/>
      <c r="L202" s="52"/>
      <c r="N202">
        <f>SUM(F202/2000*G202)</f>
        <v>2.5065</v>
      </c>
      <c r="O202" s="12" t="s">
        <v>133</v>
      </c>
    </row>
    <row r="203" spans="1:15" ht="25" customHeight="1">
      <c r="A203" s="50">
        <v>252</v>
      </c>
      <c r="B203" s="50" t="s">
        <v>18</v>
      </c>
      <c r="C203" s="50" t="s">
        <v>480</v>
      </c>
      <c r="D203" s="50"/>
      <c r="E203" s="50" t="s">
        <v>481</v>
      </c>
      <c r="F203" s="50">
        <v>2479</v>
      </c>
      <c r="G203" s="50">
        <v>2</v>
      </c>
      <c r="H203" s="50" t="s">
        <v>30</v>
      </c>
      <c r="I203" s="51" t="s">
        <v>226</v>
      </c>
      <c r="J203" s="17" t="s">
        <v>23</v>
      </c>
      <c r="K203" s="52"/>
      <c r="L203" s="52"/>
      <c r="N203">
        <f>SUM(F203/2000*G203)</f>
        <v>2.4790000000000001</v>
      </c>
      <c r="O203" s="12" t="s">
        <v>133</v>
      </c>
    </row>
    <row r="204" spans="1:15" ht="25" customHeight="1">
      <c r="A204" s="50">
        <v>123</v>
      </c>
      <c r="B204" s="50" t="s">
        <v>18</v>
      </c>
      <c r="C204" s="50" t="s">
        <v>482</v>
      </c>
      <c r="D204" s="50"/>
      <c r="E204" s="50" t="s">
        <v>242</v>
      </c>
      <c r="F204" s="50">
        <v>4863</v>
      </c>
      <c r="G204" s="50">
        <v>1</v>
      </c>
      <c r="H204" s="50" t="s">
        <v>50</v>
      </c>
      <c r="I204" s="51" t="s">
        <v>226</v>
      </c>
      <c r="J204" s="17" t="s">
        <v>238</v>
      </c>
      <c r="K204" s="52"/>
      <c r="L204" s="52"/>
      <c r="N204">
        <f>SUM(F204/2000*G204)</f>
        <v>2.4315000000000002</v>
      </c>
      <c r="O204" s="12" t="s">
        <v>133</v>
      </c>
    </row>
    <row r="205" spans="1:15" ht="25" customHeight="1">
      <c r="A205" s="50">
        <v>263</v>
      </c>
      <c r="B205" s="50" t="s">
        <v>18</v>
      </c>
      <c r="C205" s="50" t="s">
        <v>483</v>
      </c>
      <c r="D205" s="50"/>
      <c r="E205" s="50" t="s">
        <v>438</v>
      </c>
      <c r="F205" s="50">
        <v>2409</v>
      </c>
      <c r="G205" s="50">
        <v>2</v>
      </c>
      <c r="H205" s="50" t="s">
        <v>50</v>
      </c>
      <c r="I205" s="51" t="s">
        <v>226</v>
      </c>
      <c r="J205" s="17" t="s">
        <v>23</v>
      </c>
      <c r="K205" s="52"/>
      <c r="L205" s="52"/>
      <c r="N205">
        <f>SUM(F205/2000*G205)</f>
        <v>2.4089999999999998</v>
      </c>
      <c r="O205" s="12" t="s">
        <v>133</v>
      </c>
    </row>
    <row r="206" spans="1:15" ht="25" customHeight="1">
      <c r="A206" s="50">
        <v>271</v>
      </c>
      <c r="B206" s="50" t="s">
        <v>18</v>
      </c>
      <c r="C206" s="50" t="s">
        <v>484</v>
      </c>
      <c r="D206" s="50"/>
      <c r="E206" s="50" t="s">
        <v>275</v>
      </c>
      <c r="F206" s="50">
        <v>2310</v>
      </c>
      <c r="G206" s="50">
        <v>2</v>
      </c>
      <c r="H206" s="50" t="s">
        <v>50</v>
      </c>
      <c r="I206" s="51" t="s">
        <v>226</v>
      </c>
      <c r="J206" s="17" t="s">
        <v>23</v>
      </c>
      <c r="K206" s="52"/>
      <c r="L206" s="52"/>
      <c r="N206">
        <f>SUM(F206/2000*G206)</f>
        <v>2.31</v>
      </c>
      <c r="O206" s="12" t="s">
        <v>133</v>
      </c>
    </row>
    <row r="207" spans="1:15" ht="25" customHeight="1">
      <c r="A207" s="50">
        <v>129</v>
      </c>
      <c r="B207" s="50" t="s">
        <v>18</v>
      </c>
      <c r="C207" s="50" t="s">
        <v>485</v>
      </c>
      <c r="D207" s="50"/>
      <c r="E207" s="50" t="s">
        <v>319</v>
      </c>
      <c r="F207" s="50">
        <v>4574</v>
      </c>
      <c r="G207" s="50">
        <v>1</v>
      </c>
      <c r="H207" s="50" t="s">
        <v>21</v>
      </c>
      <c r="I207" s="51" t="s">
        <v>226</v>
      </c>
      <c r="J207" s="17" t="s">
        <v>107</v>
      </c>
      <c r="K207" s="52"/>
      <c r="L207" s="52"/>
      <c r="N207">
        <f>SUM(F207/2000*G207)</f>
        <v>2.2869999999999999</v>
      </c>
      <c r="O207" s="12" t="s">
        <v>133</v>
      </c>
    </row>
    <row r="208" spans="1:15" ht="25" customHeight="1">
      <c r="A208" s="50">
        <v>281</v>
      </c>
      <c r="B208" s="50" t="s">
        <v>18</v>
      </c>
      <c r="C208" s="50" t="s">
        <v>486</v>
      </c>
      <c r="D208" s="50"/>
      <c r="E208" s="50" t="s">
        <v>487</v>
      </c>
      <c r="F208" s="50">
        <v>2252</v>
      </c>
      <c r="G208" s="50">
        <v>2</v>
      </c>
      <c r="H208" s="50" t="s">
        <v>30</v>
      </c>
      <c r="I208" s="51" t="s">
        <v>226</v>
      </c>
      <c r="J208" s="17" t="s">
        <v>300</v>
      </c>
      <c r="K208" s="52"/>
      <c r="L208" s="52"/>
      <c r="N208">
        <f>SUM(F208/2000*G208)</f>
        <v>2.2519999999999998</v>
      </c>
      <c r="O208" s="12" t="s">
        <v>133</v>
      </c>
    </row>
    <row r="209" spans="1:15" ht="25" customHeight="1">
      <c r="A209" s="50">
        <v>283</v>
      </c>
      <c r="B209" s="50" t="s">
        <v>18</v>
      </c>
      <c r="C209" s="50" t="s">
        <v>488</v>
      </c>
      <c r="D209" s="50"/>
      <c r="E209" s="50" t="s">
        <v>489</v>
      </c>
      <c r="F209" s="50">
        <v>2246</v>
      </c>
      <c r="G209" s="50">
        <v>2</v>
      </c>
      <c r="H209" s="50" t="s">
        <v>30</v>
      </c>
      <c r="I209" s="51" t="s">
        <v>226</v>
      </c>
      <c r="J209" s="17" t="s">
        <v>300</v>
      </c>
      <c r="K209" s="52"/>
      <c r="L209" s="52"/>
      <c r="N209">
        <f>SUM(F209/2000*G209)</f>
        <v>2.246</v>
      </c>
      <c r="O209" s="12" t="s">
        <v>133</v>
      </c>
    </row>
    <row r="210" spans="1:15" ht="25" customHeight="1">
      <c r="A210" s="50">
        <v>132</v>
      </c>
      <c r="B210" s="50" t="s">
        <v>18</v>
      </c>
      <c r="C210" s="50" t="s">
        <v>490</v>
      </c>
      <c r="D210" s="50"/>
      <c r="E210" s="50" t="s">
        <v>491</v>
      </c>
      <c r="F210" s="50">
        <v>4451</v>
      </c>
      <c r="G210" s="50">
        <v>1</v>
      </c>
      <c r="H210" s="50" t="s">
        <v>30</v>
      </c>
      <c r="I210" s="51" t="s">
        <v>226</v>
      </c>
      <c r="J210" s="17" t="s">
        <v>23</v>
      </c>
      <c r="K210" s="52"/>
      <c r="L210" s="52"/>
      <c r="N210">
        <f>SUM(F210/2000*G210)</f>
        <v>2.2254999999999998</v>
      </c>
      <c r="O210" s="12" t="s">
        <v>133</v>
      </c>
    </row>
    <row r="211" spans="1:15" ht="25" customHeight="1">
      <c r="A211" s="50">
        <v>134</v>
      </c>
      <c r="B211" s="50" t="s">
        <v>18</v>
      </c>
      <c r="C211" s="50" t="s">
        <v>492</v>
      </c>
      <c r="D211" s="50"/>
      <c r="E211" s="50" t="s">
        <v>406</v>
      </c>
      <c r="F211" s="50">
        <v>4389</v>
      </c>
      <c r="G211" s="50">
        <v>1</v>
      </c>
      <c r="H211" s="50" t="s">
        <v>50</v>
      </c>
      <c r="I211" s="51" t="s">
        <v>226</v>
      </c>
      <c r="J211" s="17" t="s">
        <v>23</v>
      </c>
      <c r="K211" s="52"/>
      <c r="L211" s="52"/>
      <c r="N211">
        <f>SUM(F211/2000*G211)</f>
        <v>2.1945000000000001</v>
      </c>
      <c r="O211" s="12" t="s">
        <v>133</v>
      </c>
    </row>
    <row r="212" spans="1:15" ht="25" customHeight="1">
      <c r="A212" s="50">
        <v>292</v>
      </c>
      <c r="B212" s="50" t="s">
        <v>18</v>
      </c>
      <c r="C212" s="50" t="s">
        <v>493</v>
      </c>
      <c r="D212" s="50"/>
      <c r="E212" s="50" t="s">
        <v>494</v>
      </c>
      <c r="F212" s="50">
        <v>2154</v>
      </c>
      <c r="G212" s="50">
        <v>2</v>
      </c>
      <c r="H212" s="50" t="s">
        <v>50</v>
      </c>
      <c r="I212" s="51" t="s">
        <v>226</v>
      </c>
      <c r="J212" s="17" t="s">
        <v>230</v>
      </c>
      <c r="K212" s="52"/>
      <c r="L212" s="52"/>
      <c r="N212">
        <f>SUM(F212/2000*G212)</f>
        <v>2.1539999999999999</v>
      </c>
      <c r="O212" s="12" t="s">
        <v>133</v>
      </c>
    </row>
    <row r="213" spans="1:15" ht="25" customHeight="1">
      <c r="A213" s="50">
        <v>293</v>
      </c>
      <c r="B213" s="50" t="s">
        <v>18</v>
      </c>
      <c r="C213" s="50" t="s">
        <v>495</v>
      </c>
      <c r="D213" s="50"/>
      <c r="E213" s="50" t="s">
        <v>496</v>
      </c>
      <c r="F213" s="50">
        <v>2152</v>
      </c>
      <c r="G213" s="50">
        <v>2</v>
      </c>
      <c r="H213" s="50" t="s">
        <v>30</v>
      </c>
      <c r="I213" s="51" t="s">
        <v>226</v>
      </c>
      <c r="J213" s="17" t="s">
        <v>391</v>
      </c>
      <c r="K213" s="52"/>
      <c r="L213" s="52"/>
      <c r="N213">
        <f>SUM(F213/2000*G213)</f>
        <v>2.1520000000000001</v>
      </c>
      <c r="O213" s="12" t="s">
        <v>133</v>
      </c>
    </row>
    <row r="214" spans="1:15" ht="25" customHeight="1">
      <c r="A214" s="50">
        <v>140</v>
      </c>
      <c r="B214" s="50" t="s">
        <v>18</v>
      </c>
      <c r="C214" s="50" t="s">
        <v>497</v>
      </c>
      <c r="D214" s="50"/>
      <c r="E214" s="50" t="s">
        <v>498</v>
      </c>
      <c r="F214" s="50">
        <v>4188</v>
      </c>
      <c r="G214" s="50">
        <v>1</v>
      </c>
      <c r="H214" s="50" t="s">
        <v>50</v>
      </c>
      <c r="I214" s="51" t="s">
        <v>226</v>
      </c>
      <c r="J214" s="17" t="s">
        <v>23</v>
      </c>
      <c r="K214" s="52"/>
      <c r="L214" s="52"/>
      <c r="N214">
        <f>SUM(F214/2000*G214)</f>
        <v>2.0939999999999999</v>
      </c>
      <c r="O214" s="12" t="s">
        <v>133</v>
      </c>
    </row>
    <row r="215" spans="1:15" ht="25" customHeight="1">
      <c r="A215" s="50">
        <v>143</v>
      </c>
      <c r="B215" s="50" t="s">
        <v>18</v>
      </c>
      <c r="C215" s="50" t="s">
        <v>499</v>
      </c>
      <c r="D215" s="50"/>
      <c r="E215" s="50" t="s">
        <v>500</v>
      </c>
      <c r="F215" s="50">
        <v>4096</v>
      </c>
      <c r="G215" s="50">
        <v>1</v>
      </c>
      <c r="H215" s="50" t="s">
        <v>30</v>
      </c>
      <c r="I215" s="51" t="s">
        <v>226</v>
      </c>
      <c r="J215" s="17" t="s">
        <v>23</v>
      </c>
      <c r="K215" s="52"/>
      <c r="L215" s="52"/>
      <c r="N215">
        <f>SUM(F215/2000*G215)</f>
        <v>2.048</v>
      </c>
      <c r="O215" s="12" t="s">
        <v>133</v>
      </c>
    </row>
    <row r="216" spans="1:15" ht="25" customHeight="1">
      <c r="A216" s="50">
        <v>151</v>
      </c>
      <c r="B216" s="50" t="s">
        <v>18</v>
      </c>
      <c r="C216" s="50" t="s">
        <v>501</v>
      </c>
      <c r="D216" s="50"/>
      <c r="E216" s="50" t="s">
        <v>502</v>
      </c>
      <c r="F216" s="50">
        <v>3866</v>
      </c>
      <c r="G216" s="50">
        <v>1</v>
      </c>
      <c r="H216" s="50" t="s">
        <v>30</v>
      </c>
      <c r="I216" s="51" t="s">
        <v>226</v>
      </c>
      <c r="J216" s="17" t="s">
        <v>230</v>
      </c>
      <c r="K216" s="52"/>
      <c r="L216" s="52"/>
      <c r="N216">
        <f>SUM(F216/2000*G216)</f>
        <v>1.9330000000000001</v>
      </c>
      <c r="O216" s="12" t="s">
        <v>133</v>
      </c>
    </row>
    <row r="217" spans="1:15" ht="25" customHeight="1">
      <c r="A217" s="50">
        <v>153</v>
      </c>
      <c r="B217" s="50" t="s">
        <v>18</v>
      </c>
      <c r="C217" s="50" t="s">
        <v>503</v>
      </c>
      <c r="D217" s="50"/>
      <c r="E217" s="50" t="s">
        <v>504</v>
      </c>
      <c r="F217" s="50">
        <v>3766</v>
      </c>
      <c r="G217" s="50">
        <v>1</v>
      </c>
      <c r="H217" s="50" t="s">
        <v>30</v>
      </c>
      <c r="I217" s="51" t="s">
        <v>226</v>
      </c>
      <c r="J217" s="17" t="s">
        <v>238</v>
      </c>
      <c r="K217" s="52"/>
      <c r="L217" s="52"/>
      <c r="N217">
        <f>SUM(F217/2000*G217)</f>
        <v>1.883</v>
      </c>
      <c r="O217" s="12" t="s">
        <v>133</v>
      </c>
    </row>
    <row r="218" spans="1:15" ht="25" customHeight="1">
      <c r="A218" s="50">
        <v>158</v>
      </c>
      <c r="B218" s="50" t="s">
        <v>18</v>
      </c>
      <c r="C218" s="50" t="s">
        <v>505</v>
      </c>
      <c r="D218" s="50"/>
      <c r="E218" s="50" t="s">
        <v>506</v>
      </c>
      <c r="F218" s="50">
        <v>3672</v>
      </c>
      <c r="G218" s="50">
        <v>1</v>
      </c>
      <c r="H218" s="50" t="s">
        <v>30</v>
      </c>
      <c r="I218" s="51" t="s">
        <v>226</v>
      </c>
      <c r="J218" s="17" t="s">
        <v>507</v>
      </c>
      <c r="K218" s="52"/>
      <c r="L218" s="52" t="s">
        <v>508</v>
      </c>
      <c r="N218">
        <f>SUM(F218/2000*G218)</f>
        <v>1.8360000000000001</v>
      </c>
      <c r="O218" s="12" t="s">
        <v>133</v>
      </c>
    </row>
    <row r="219" spans="1:15" ht="25" customHeight="1">
      <c r="A219" s="50">
        <v>163</v>
      </c>
      <c r="B219" s="50" t="s">
        <v>18</v>
      </c>
      <c r="C219" s="50" t="s">
        <v>509</v>
      </c>
      <c r="D219" s="50"/>
      <c r="E219" s="50" t="s">
        <v>370</v>
      </c>
      <c r="F219" s="50">
        <v>3570</v>
      </c>
      <c r="G219" s="50">
        <v>1</v>
      </c>
      <c r="H219" s="50" t="s">
        <v>30</v>
      </c>
      <c r="I219" s="51" t="s">
        <v>226</v>
      </c>
      <c r="J219" s="17"/>
      <c r="K219" s="52"/>
      <c r="L219" s="52" t="s">
        <v>371</v>
      </c>
      <c r="N219">
        <f>SUM(F219/2000*G219)</f>
        <v>1.7849999999999999</v>
      </c>
      <c r="O219" s="12" t="s">
        <v>133</v>
      </c>
    </row>
    <row r="220" spans="1:15" ht="25" customHeight="1">
      <c r="A220" s="50">
        <v>166</v>
      </c>
      <c r="B220" s="50" t="s">
        <v>18</v>
      </c>
      <c r="C220" s="50" t="s">
        <v>510</v>
      </c>
      <c r="D220" s="50"/>
      <c r="E220" s="50" t="s">
        <v>511</v>
      </c>
      <c r="F220" s="50">
        <v>3527</v>
      </c>
      <c r="G220" s="50">
        <v>1</v>
      </c>
      <c r="H220" s="50" t="s">
        <v>30</v>
      </c>
      <c r="I220" s="51" t="s">
        <v>226</v>
      </c>
      <c r="J220" s="17" t="s">
        <v>23</v>
      </c>
      <c r="K220" s="52"/>
      <c r="L220" s="52"/>
      <c r="N220">
        <f>SUM(F220/2000*G220)</f>
        <v>1.7635000000000001</v>
      </c>
      <c r="O220" s="12" t="s">
        <v>133</v>
      </c>
    </row>
    <row r="221" spans="1:15" ht="25" customHeight="1">
      <c r="A221" s="50">
        <v>168</v>
      </c>
      <c r="B221" s="50" t="s">
        <v>18</v>
      </c>
      <c r="C221" s="50" t="s">
        <v>512</v>
      </c>
      <c r="D221" s="50"/>
      <c r="E221" s="50" t="s">
        <v>513</v>
      </c>
      <c r="F221" s="50">
        <v>3515</v>
      </c>
      <c r="G221" s="50">
        <v>1</v>
      </c>
      <c r="H221" s="50" t="s">
        <v>50</v>
      </c>
      <c r="I221" s="51" t="s">
        <v>226</v>
      </c>
      <c r="J221" s="17" t="s">
        <v>23</v>
      </c>
      <c r="K221" s="52"/>
      <c r="L221" s="52"/>
      <c r="N221">
        <f>SUM(F221/2000*G221)</f>
        <v>1.7575000000000001</v>
      </c>
      <c r="O221" s="12" t="s">
        <v>133</v>
      </c>
    </row>
    <row r="222" spans="1:15" ht="25" customHeight="1">
      <c r="A222" s="50">
        <v>169</v>
      </c>
      <c r="B222" s="50" t="s">
        <v>18</v>
      </c>
      <c r="C222" s="50" t="s">
        <v>514</v>
      </c>
      <c r="D222" s="50"/>
      <c r="E222" s="50" t="s">
        <v>515</v>
      </c>
      <c r="F222" s="50">
        <v>3512</v>
      </c>
      <c r="G222" s="50">
        <v>1</v>
      </c>
      <c r="H222" s="50" t="s">
        <v>21</v>
      </c>
      <c r="I222" s="51" t="s">
        <v>226</v>
      </c>
      <c r="J222" s="17" t="s">
        <v>23</v>
      </c>
      <c r="K222" s="52"/>
      <c r="L222" s="52"/>
      <c r="N222">
        <f>SUM(F222/2000*G222)</f>
        <v>1.756</v>
      </c>
      <c r="O222" s="12" t="s">
        <v>133</v>
      </c>
    </row>
    <row r="223" spans="1:15" ht="25" customHeight="1">
      <c r="A223" s="50">
        <v>171</v>
      </c>
      <c r="B223" s="50" t="s">
        <v>18</v>
      </c>
      <c r="C223" s="50" t="s">
        <v>516</v>
      </c>
      <c r="D223" s="50"/>
      <c r="E223" s="50" t="s">
        <v>517</v>
      </c>
      <c r="F223" s="50">
        <v>3472</v>
      </c>
      <c r="G223" s="50">
        <v>1</v>
      </c>
      <c r="H223" s="50" t="s">
        <v>30</v>
      </c>
      <c r="I223" s="51" t="s">
        <v>226</v>
      </c>
      <c r="J223" s="17" t="s">
        <v>443</v>
      </c>
      <c r="K223" s="52"/>
      <c r="L223" s="52"/>
      <c r="N223">
        <f>SUM(F223/2000*G223)</f>
        <v>1.736</v>
      </c>
      <c r="O223" s="12" t="s">
        <v>133</v>
      </c>
    </row>
    <row r="224" spans="1:15" ht="25" customHeight="1">
      <c r="A224" s="50">
        <v>172</v>
      </c>
      <c r="B224" s="50" t="s">
        <v>18</v>
      </c>
      <c r="C224" s="50" t="s">
        <v>518</v>
      </c>
      <c r="D224" s="50"/>
      <c r="E224" s="50" t="s">
        <v>519</v>
      </c>
      <c r="F224" s="50">
        <v>3435</v>
      </c>
      <c r="G224" s="50">
        <v>1</v>
      </c>
      <c r="H224" s="50" t="s">
        <v>30</v>
      </c>
      <c r="I224" s="51" t="s">
        <v>226</v>
      </c>
      <c r="J224" s="17" t="s">
        <v>23</v>
      </c>
      <c r="K224" s="52"/>
      <c r="L224" s="52"/>
      <c r="N224">
        <f>SUM(F224/2000*G224)</f>
        <v>1.7175</v>
      </c>
      <c r="O224" s="12" t="s">
        <v>133</v>
      </c>
    </row>
    <row r="225" spans="1:15" ht="25" customHeight="1">
      <c r="A225" s="50">
        <v>174</v>
      </c>
      <c r="B225" s="50" t="s">
        <v>18</v>
      </c>
      <c r="C225" s="50" t="s">
        <v>520</v>
      </c>
      <c r="D225" s="50"/>
      <c r="E225" s="50" t="s">
        <v>521</v>
      </c>
      <c r="F225" s="50">
        <v>3417</v>
      </c>
      <c r="G225" s="50">
        <v>1</v>
      </c>
      <c r="H225" s="50" t="s">
        <v>30</v>
      </c>
      <c r="I225" s="51" t="s">
        <v>226</v>
      </c>
      <c r="J225" s="17" t="s">
        <v>23</v>
      </c>
      <c r="K225" s="52"/>
      <c r="L225" s="52"/>
      <c r="N225">
        <f>SUM(F225/2000*G225)</f>
        <v>1.7084999999999999</v>
      </c>
      <c r="O225" s="12" t="s">
        <v>133</v>
      </c>
    </row>
    <row r="226" spans="1:15" ht="25" customHeight="1">
      <c r="A226" s="50">
        <v>178</v>
      </c>
      <c r="B226" s="50" t="s">
        <v>18</v>
      </c>
      <c r="C226" s="50" t="s">
        <v>522</v>
      </c>
      <c r="D226" s="50"/>
      <c r="E226" s="50" t="s">
        <v>523</v>
      </c>
      <c r="F226" s="50">
        <v>3386</v>
      </c>
      <c r="G226" s="50">
        <v>1</v>
      </c>
      <c r="H226" s="50" t="s">
        <v>30</v>
      </c>
      <c r="I226" s="51" t="s">
        <v>226</v>
      </c>
      <c r="J226" s="17" t="s">
        <v>230</v>
      </c>
      <c r="K226" s="52"/>
      <c r="L226" s="52"/>
      <c r="N226">
        <f>SUM(F226/2000*G226)</f>
        <v>1.6930000000000001</v>
      </c>
      <c r="O226" s="12" t="s">
        <v>133</v>
      </c>
    </row>
    <row r="227" spans="1:15" ht="25" customHeight="1">
      <c r="A227" s="50">
        <v>183</v>
      </c>
      <c r="B227" s="50" t="s">
        <v>18</v>
      </c>
      <c r="C227" s="50" t="s">
        <v>524</v>
      </c>
      <c r="D227" s="50"/>
      <c r="E227" s="50" t="s">
        <v>525</v>
      </c>
      <c r="F227" s="50">
        <v>3297</v>
      </c>
      <c r="G227" s="50">
        <v>1</v>
      </c>
      <c r="H227" s="50" t="s">
        <v>30</v>
      </c>
      <c r="I227" s="51" t="s">
        <v>226</v>
      </c>
      <c r="J227" s="17" t="s">
        <v>23</v>
      </c>
      <c r="K227" s="52"/>
      <c r="L227" s="52"/>
      <c r="N227">
        <f>SUM(F227/2000*G227)</f>
        <v>1.6485000000000001</v>
      </c>
      <c r="O227" s="12" t="s">
        <v>133</v>
      </c>
    </row>
    <row r="228" spans="1:15" ht="25" customHeight="1">
      <c r="A228" s="50">
        <v>185</v>
      </c>
      <c r="B228" s="50" t="s">
        <v>18</v>
      </c>
      <c r="C228" s="50" t="s">
        <v>526</v>
      </c>
      <c r="D228" s="50"/>
      <c r="E228" s="50" t="s">
        <v>527</v>
      </c>
      <c r="F228" s="50">
        <v>3253</v>
      </c>
      <c r="G228" s="50">
        <v>1</v>
      </c>
      <c r="H228" s="50" t="s">
        <v>50</v>
      </c>
      <c r="I228" s="51" t="s">
        <v>226</v>
      </c>
      <c r="J228" s="17" t="s">
        <v>23</v>
      </c>
      <c r="K228" s="52"/>
      <c r="L228" s="52"/>
      <c r="N228">
        <f>SUM(F228/2000*G228)</f>
        <v>1.6265000000000001</v>
      </c>
      <c r="O228" s="12" t="s">
        <v>133</v>
      </c>
    </row>
    <row r="229" spans="1:15" ht="25" customHeight="1">
      <c r="A229" s="50">
        <v>188</v>
      </c>
      <c r="B229" s="50" t="s">
        <v>18</v>
      </c>
      <c r="C229" s="50" t="s">
        <v>528</v>
      </c>
      <c r="D229" s="50"/>
      <c r="E229" s="50" t="s">
        <v>529</v>
      </c>
      <c r="F229" s="50">
        <v>3220</v>
      </c>
      <c r="G229" s="50">
        <v>1</v>
      </c>
      <c r="H229" s="50" t="s">
        <v>30</v>
      </c>
      <c r="I229" s="51" t="s">
        <v>226</v>
      </c>
      <c r="J229" s="17"/>
      <c r="K229" s="52"/>
      <c r="L229" s="52"/>
      <c r="N229">
        <f>SUM(F229/2000*G229)</f>
        <v>1.61</v>
      </c>
      <c r="O229" s="12" t="s">
        <v>133</v>
      </c>
    </row>
    <row r="230" spans="1:15" ht="25" customHeight="1">
      <c r="A230" s="50">
        <v>189</v>
      </c>
      <c r="B230" s="50" t="s">
        <v>18</v>
      </c>
      <c r="C230" s="50" t="s">
        <v>530</v>
      </c>
      <c r="D230" s="50"/>
      <c r="E230" s="50" t="s">
        <v>447</v>
      </c>
      <c r="F230" s="50">
        <v>3196</v>
      </c>
      <c r="G230" s="50">
        <v>1</v>
      </c>
      <c r="H230" s="50" t="s">
        <v>50</v>
      </c>
      <c r="I230" s="51" t="s">
        <v>226</v>
      </c>
      <c r="J230" s="17" t="s">
        <v>247</v>
      </c>
      <c r="K230" s="52"/>
      <c r="L230" s="52"/>
      <c r="N230">
        <f>SUM(F230/2000*G230)</f>
        <v>1.5980000000000001</v>
      </c>
      <c r="O230" s="12" t="s">
        <v>133</v>
      </c>
    </row>
    <row r="231" spans="1:15" ht="25" customHeight="1">
      <c r="A231" s="50">
        <v>192</v>
      </c>
      <c r="B231" s="50" t="s">
        <v>18</v>
      </c>
      <c r="C231" s="50" t="s">
        <v>531</v>
      </c>
      <c r="D231" s="50"/>
      <c r="E231" s="50" t="s">
        <v>398</v>
      </c>
      <c r="F231" s="50">
        <v>3143</v>
      </c>
      <c r="G231" s="50">
        <v>1</v>
      </c>
      <c r="H231" s="50" t="s">
        <v>30</v>
      </c>
      <c r="I231" s="51" t="s">
        <v>226</v>
      </c>
      <c r="J231" s="17"/>
      <c r="K231" s="52"/>
      <c r="L231" s="52"/>
      <c r="N231">
        <f>SUM(F231/2000*G231)</f>
        <v>1.5714999999999999</v>
      </c>
      <c r="O231" s="12" t="s">
        <v>133</v>
      </c>
    </row>
    <row r="232" spans="1:15" ht="25" customHeight="1">
      <c r="A232" s="50">
        <v>196</v>
      </c>
      <c r="B232" s="50" t="s">
        <v>18</v>
      </c>
      <c r="C232" s="50" t="s">
        <v>532</v>
      </c>
      <c r="D232" s="50"/>
      <c r="E232" s="50" t="s">
        <v>533</v>
      </c>
      <c r="F232" s="50">
        <v>3048</v>
      </c>
      <c r="G232" s="50">
        <v>1</v>
      </c>
      <c r="H232" s="50" t="s">
        <v>50</v>
      </c>
      <c r="I232" s="51" t="s">
        <v>226</v>
      </c>
      <c r="J232" s="17"/>
      <c r="K232" s="52"/>
      <c r="L232" s="52"/>
      <c r="N232">
        <f>SUM(F232/2000*G232)</f>
        <v>1.524</v>
      </c>
      <c r="O232" s="12" t="s">
        <v>133</v>
      </c>
    </row>
    <row r="233" spans="1:15" ht="25" customHeight="1">
      <c r="A233" s="50">
        <v>198</v>
      </c>
      <c r="B233" s="50" t="s">
        <v>18</v>
      </c>
      <c r="C233" s="50" t="s">
        <v>534</v>
      </c>
      <c r="D233" s="50"/>
      <c r="E233" s="50" t="s">
        <v>535</v>
      </c>
      <c r="F233" s="50">
        <v>3026</v>
      </c>
      <c r="G233" s="50">
        <v>1</v>
      </c>
      <c r="H233" s="50" t="s">
        <v>30</v>
      </c>
      <c r="I233" s="51" t="s">
        <v>226</v>
      </c>
      <c r="J233" s="17" t="s">
        <v>23</v>
      </c>
      <c r="K233" s="52"/>
      <c r="L233" s="52"/>
      <c r="N233">
        <f>SUM(F233/2000*G233)</f>
        <v>1.5129999999999999</v>
      </c>
      <c r="O233" s="12" t="s">
        <v>133</v>
      </c>
    </row>
    <row r="234" spans="1:15" ht="25" customHeight="1">
      <c r="A234" s="50">
        <v>200</v>
      </c>
      <c r="B234" s="50" t="s">
        <v>18</v>
      </c>
      <c r="C234" s="50" t="s">
        <v>536</v>
      </c>
      <c r="D234" s="50"/>
      <c r="E234" s="50" t="s">
        <v>494</v>
      </c>
      <c r="F234" s="50">
        <v>3017</v>
      </c>
      <c r="G234" s="50">
        <v>1</v>
      </c>
      <c r="H234" s="50" t="s">
        <v>30</v>
      </c>
      <c r="I234" s="51" t="s">
        <v>226</v>
      </c>
      <c r="J234" s="17" t="s">
        <v>230</v>
      </c>
      <c r="K234" s="52"/>
      <c r="L234" s="52"/>
      <c r="N234">
        <f>SUM(F234/2000*G234)</f>
        <v>1.5085</v>
      </c>
      <c r="O234" s="12" t="s">
        <v>133</v>
      </c>
    </row>
    <row r="235" spans="1:15" ht="25" customHeight="1">
      <c r="A235" s="50">
        <v>210</v>
      </c>
      <c r="B235" s="50" t="s">
        <v>18</v>
      </c>
      <c r="C235" s="50" t="s">
        <v>537</v>
      </c>
      <c r="D235" s="50"/>
      <c r="E235" s="50" t="s">
        <v>453</v>
      </c>
      <c r="F235" s="50">
        <v>2962</v>
      </c>
      <c r="G235" s="50">
        <v>1</v>
      </c>
      <c r="H235" s="50" t="s">
        <v>30</v>
      </c>
      <c r="I235" s="51" t="s">
        <v>226</v>
      </c>
      <c r="J235" s="17" t="s">
        <v>238</v>
      </c>
      <c r="K235" s="52"/>
      <c r="L235" s="52"/>
      <c r="N235">
        <f>SUM(F235/2000*G235)</f>
        <v>1.4810000000000001</v>
      </c>
      <c r="O235" s="12" t="s">
        <v>133</v>
      </c>
    </row>
    <row r="236" spans="1:15" ht="25" customHeight="1">
      <c r="A236" s="50">
        <v>211</v>
      </c>
      <c r="B236" s="50" t="s">
        <v>18</v>
      </c>
      <c r="C236" s="50" t="s">
        <v>538</v>
      </c>
      <c r="D236" s="50"/>
      <c r="E236" s="50" t="s">
        <v>539</v>
      </c>
      <c r="F236" s="50">
        <v>2934</v>
      </c>
      <c r="G236" s="50">
        <v>1</v>
      </c>
      <c r="H236" s="50" t="s">
        <v>30</v>
      </c>
      <c r="I236" s="51" t="s">
        <v>226</v>
      </c>
      <c r="J236" s="17" t="s">
        <v>23</v>
      </c>
      <c r="K236" s="52"/>
      <c r="L236" s="52"/>
      <c r="N236">
        <f>SUM(F236/2000*G236)</f>
        <v>1.4670000000000001</v>
      </c>
      <c r="O236" s="12" t="s">
        <v>133</v>
      </c>
    </row>
    <row r="237" spans="1:15" ht="25" customHeight="1">
      <c r="A237" s="50">
        <v>215</v>
      </c>
      <c r="B237" s="50" t="s">
        <v>18</v>
      </c>
      <c r="C237" s="50" t="s">
        <v>540</v>
      </c>
      <c r="D237" s="50"/>
      <c r="E237" s="50" t="s">
        <v>541</v>
      </c>
      <c r="F237" s="50">
        <v>2865</v>
      </c>
      <c r="G237" s="50">
        <v>1</v>
      </c>
      <c r="H237" s="50" t="s">
        <v>50</v>
      </c>
      <c r="I237" s="51" t="s">
        <v>226</v>
      </c>
      <c r="J237" s="17"/>
      <c r="K237" s="52"/>
      <c r="L237" s="52"/>
      <c r="N237">
        <f>SUM(F237/2000*G237)</f>
        <v>1.4325000000000001</v>
      </c>
      <c r="O237" s="12" t="s">
        <v>133</v>
      </c>
    </row>
    <row r="238" spans="1:15" ht="25" customHeight="1">
      <c r="A238" s="50">
        <v>223</v>
      </c>
      <c r="B238" s="50" t="s">
        <v>18</v>
      </c>
      <c r="C238" s="50" t="s">
        <v>542</v>
      </c>
      <c r="D238" s="50"/>
      <c r="E238" s="50" t="s">
        <v>543</v>
      </c>
      <c r="F238" s="50">
        <v>2778</v>
      </c>
      <c r="G238" s="50">
        <v>1</v>
      </c>
      <c r="H238" s="50" t="s">
        <v>30</v>
      </c>
      <c r="I238" s="51" t="s">
        <v>226</v>
      </c>
      <c r="J238" s="17" t="s">
        <v>23</v>
      </c>
      <c r="K238" s="52"/>
      <c r="L238" s="52"/>
      <c r="N238">
        <f>SUM(F238/2000*G238)</f>
        <v>1.389</v>
      </c>
      <c r="O238" s="12" t="s">
        <v>133</v>
      </c>
    </row>
    <row r="239" spans="1:15" ht="25" customHeight="1">
      <c r="A239" s="50">
        <v>228</v>
      </c>
      <c r="B239" s="50" t="s">
        <v>18</v>
      </c>
      <c r="C239" s="50" t="s">
        <v>544</v>
      </c>
      <c r="D239" s="50"/>
      <c r="E239" s="50" t="s">
        <v>545</v>
      </c>
      <c r="F239" s="50">
        <v>2720</v>
      </c>
      <c r="G239" s="50">
        <v>1</v>
      </c>
      <c r="H239" s="50" t="s">
        <v>50</v>
      </c>
      <c r="I239" s="51" t="s">
        <v>226</v>
      </c>
      <c r="J239" s="17" t="s">
        <v>23</v>
      </c>
      <c r="K239" s="52"/>
      <c r="L239" s="52"/>
      <c r="N239">
        <f>SUM(F239/2000*G239)</f>
        <v>1.36</v>
      </c>
      <c r="O239" s="12" t="s">
        <v>133</v>
      </c>
    </row>
    <row r="240" spans="1:15" ht="25" customHeight="1">
      <c r="A240" s="50">
        <v>229</v>
      </c>
      <c r="B240" s="50" t="s">
        <v>18</v>
      </c>
      <c r="C240" s="50" t="s">
        <v>546</v>
      </c>
      <c r="D240" s="50"/>
      <c r="E240" s="50" t="s">
        <v>547</v>
      </c>
      <c r="F240" s="50">
        <v>2720</v>
      </c>
      <c r="G240" s="50">
        <v>1</v>
      </c>
      <c r="H240" s="50" t="s">
        <v>30</v>
      </c>
      <c r="I240" s="51" t="s">
        <v>226</v>
      </c>
      <c r="J240" s="17" t="s">
        <v>391</v>
      </c>
      <c r="K240" s="52"/>
      <c r="L240" s="52"/>
      <c r="N240">
        <f>SUM(F240/2000*G240)</f>
        <v>1.36</v>
      </c>
      <c r="O240" s="12" t="s">
        <v>133</v>
      </c>
    </row>
    <row r="241" spans="1:15" ht="25" customHeight="1">
      <c r="A241" s="50">
        <v>230</v>
      </c>
      <c r="B241" s="50" t="s">
        <v>18</v>
      </c>
      <c r="C241" s="50" t="s">
        <v>548</v>
      </c>
      <c r="D241" s="50"/>
      <c r="E241" s="50" t="s">
        <v>549</v>
      </c>
      <c r="F241" s="50">
        <v>2718</v>
      </c>
      <c r="G241" s="50">
        <v>1</v>
      </c>
      <c r="H241" s="50" t="s">
        <v>30</v>
      </c>
      <c r="I241" s="51" t="s">
        <v>226</v>
      </c>
      <c r="J241" s="17" t="s">
        <v>550</v>
      </c>
      <c r="K241" s="52"/>
      <c r="L241" s="52"/>
      <c r="N241">
        <f>SUM(F241/2000*G241)</f>
        <v>1.359</v>
      </c>
      <c r="O241" s="12" t="s">
        <v>133</v>
      </c>
    </row>
    <row r="242" spans="1:15" ht="25" customHeight="1">
      <c r="A242" s="50">
        <v>232</v>
      </c>
      <c r="B242" s="50" t="s">
        <v>18</v>
      </c>
      <c r="C242" s="50" t="s">
        <v>551</v>
      </c>
      <c r="D242" s="50"/>
      <c r="E242" s="50" t="s">
        <v>552</v>
      </c>
      <c r="F242" s="50">
        <v>2711</v>
      </c>
      <c r="G242" s="50">
        <v>1</v>
      </c>
      <c r="H242" s="50" t="s">
        <v>30</v>
      </c>
      <c r="I242" s="51" t="s">
        <v>226</v>
      </c>
      <c r="J242" s="17" t="s">
        <v>391</v>
      </c>
      <c r="K242" s="52"/>
      <c r="L242" s="52"/>
      <c r="N242">
        <f>SUM(F242/2000*G242)</f>
        <v>1.3554999999999999</v>
      </c>
      <c r="O242" s="12" t="s">
        <v>133</v>
      </c>
    </row>
    <row r="243" spans="1:15" ht="25" customHeight="1">
      <c r="A243" s="50">
        <v>234</v>
      </c>
      <c r="B243" s="50" t="s">
        <v>18</v>
      </c>
      <c r="C243" s="50" t="s">
        <v>553</v>
      </c>
      <c r="D243" s="50"/>
      <c r="E243" s="50" t="s">
        <v>554</v>
      </c>
      <c r="F243" s="50">
        <v>2663</v>
      </c>
      <c r="G243" s="50">
        <v>1</v>
      </c>
      <c r="H243" s="50" t="s">
        <v>50</v>
      </c>
      <c r="I243" s="51" t="s">
        <v>226</v>
      </c>
      <c r="J243" s="17" t="s">
        <v>23</v>
      </c>
      <c r="K243" s="52"/>
      <c r="L243" s="52"/>
      <c r="N243">
        <f>SUM(F243/2000*G243)</f>
        <v>1.3314999999999999</v>
      </c>
      <c r="O243" s="12" t="s">
        <v>133</v>
      </c>
    </row>
    <row r="244" spans="1:15" ht="25" customHeight="1">
      <c r="A244" s="50">
        <v>235</v>
      </c>
      <c r="B244" s="50" t="s">
        <v>18</v>
      </c>
      <c r="C244" s="50" t="s">
        <v>555</v>
      </c>
      <c r="D244" s="50"/>
      <c r="E244" s="50" t="s">
        <v>556</v>
      </c>
      <c r="F244" s="50">
        <v>2651</v>
      </c>
      <c r="G244" s="50">
        <v>1</v>
      </c>
      <c r="H244" s="50" t="s">
        <v>50</v>
      </c>
      <c r="I244" s="51" t="s">
        <v>226</v>
      </c>
      <c r="J244" s="17" t="s">
        <v>268</v>
      </c>
      <c r="K244" s="52"/>
      <c r="L244" s="52" t="s">
        <v>557</v>
      </c>
      <c r="N244">
        <f>SUM(F244/2000*G244)</f>
        <v>1.3254999999999999</v>
      </c>
      <c r="O244" s="12" t="s">
        <v>133</v>
      </c>
    </row>
    <row r="245" spans="1:15" ht="25" customHeight="1">
      <c r="A245" s="50">
        <v>240</v>
      </c>
      <c r="B245" s="50" t="s">
        <v>18</v>
      </c>
      <c r="C245" s="50" t="s">
        <v>558</v>
      </c>
      <c r="D245" s="50"/>
      <c r="E245" s="50" t="s">
        <v>559</v>
      </c>
      <c r="F245" s="50">
        <v>2621</v>
      </c>
      <c r="G245" s="50">
        <v>1</v>
      </c>
      <c r="H245" s="50" t="s">
        <v>50</v>
      </c>
      <c r="I245" s="51" t="s">
        <v>226</v>
      </c>
      <c r="J245" s="17" t="s">
        <v>268</v>
      </c>
      <c r="K245" s="52"/>
      <c r="L245" s="52"/>
      <c r="N245">
        <f>SUM(F245/2000*G245)</f>
        <v>1.3105</v>
      </c>
      <c r="O245" s="12" t="s">
        <v>133</v>
      </c>
    </row>
    <row r="246" spans="1:15" ht="25" customHeight="1">
      <c r="A246" s="50">
        <v>243</v>
      </c>
      <c r="B246" s="50" t="s">
        <v>18</v>
      </c>
      <c r="C246" s="50" t="s">
        <v>560</v>
      </c>
      <c r="D246" s="50"/>
      <c r="E246" s="50" t="s">
        <v>561</v>
      </c>
      <c r="F246" s="50">
        <v>2564</v>
      </c>
      <c r="G246" s="50">
        <v>1</v>
      </c>
      <c r="H246" s="50" t="s">
        <v>30</v>
      </c>
      <c r="I246" s="51" t="s">
        <v>226</v>
      </c>
      <c r="J246" s="17" t="s">
        <v>23</v>
      </c>
      <c r="K246" s="52"/>
      <c r="L246" s="52"/>
      <c r="N246">
        <f>SUM(F246/2000*G246)</f>
        <v>1.282</v>
      </c>
      <c r="O246" s="12" t="s">
        <v>133</v>
      </c>
    </row>
    <row r="247" spans="1:15" ht="25" customHeight="1">
      <c r="A247" s="50">
        <v>248</v>
      </c>
      <c r="B247" s="50" t="s">
        <v>18</v>
      </c>
      <c r="C247" s="50" t="s">
        <v>562</v>
      </c>
      <c r="D247" s="50"/>
      <c r="E247" s="50" t="s">
        <v>563</v>
      </c>
      <c r="F247" s="50">
        <v>2519</v>
      </c>
      <c r="G247" s="50">
        <v>1</v>
      </c>
      <c r="H247" s="50" t="s">
        <v>30</v>
      </c>
      <c r="I247" s="51" t="s">
        <v>226</v>
      </c>
      <c r="J247" s="17" t="s">
        <v>23</v>
      </c>
      <c r="K247" s="52"/>
      <c r="L247" s="52"/>
      <c r="N247">
        <f>SUM(F247/2000*G247)</f>
        <v>1.2595000000000001</v>
      </c>
      <c r="O247" s="12" t="s">
        <v>133</v>
      </c>
    </row>
    <row r="248" spans="1:15" ht="25" customHeight="1">
      <c r="A248" s="50">
        <v>256</v>
      </c>
      <c r="B248" s="50" t="s">
        <v>18</v>
      </c>
      <c r="C248" s="50" t="s">
        <v>564</v>
      </c>
      <c r="D248" s="50"/>
      <c r="E248" s="50" t="s">
        <v>322</v>
      </c>
      <c r="F248" s="50">
        <v>2467</v>
      </c>
      <c r="G248" s="50">
        <v>1</v>
      </c>
      <c r="H248" s="50" t="s">
        <v>30</v>
      </c>
      <c r="I248" s="51" t="s">
        <v>226</v>
      </c>
      <c r="J248" s="17" t="s">
        <v>23</v>
      </c>
      <c r="K248" s="52"/>
      <c r="L248" s="52"/>
      <c r="N248">
        <f>SUM(F248/2000*G248)</f>
        <v>1.2335</v>
      </c>
      <c r="O248" s="12" t="s">
        <v>133</v>
      </c>
    </row>
    <row r="249" spans="1:15" ht="25" customHeight="1">
      <c r="A249" s="50">
        <v>257</v>
      </c>
      <c r="B249" s="50" t="s">
        <v>18</v>
      </c>
      <c r="C249" s="50" t="s">
        <v>565</v>
      </c>
      <c r="D249" s="50"/>
      <c r="E249" s="50" t="s">
        <v>566</v>
      </c>
      <c r="F249" s="50">
        <v>2463</v>
      </c>
      <c r="G249" s="50">
        <v>1</v>
      </c>
      <c r="H249" s="50" t="s">
        <v>30</v>
      </c>
      <c r="I249" s="51" t="s">
        <v>226</v>
      </c>
      <c r="J249" s="17" t="s">
        <v>23</v>
      </c>
      <c r="K249" s="52"/>
      <c r="L249" s="52"/>
      <c r="N249">
        <f>SUM(F249/2000*G249)</f>
        <v>1.2315</v>
      </c>
      <c r="O249" s="12" t="s">
        <v>133</v>
      </c>
    </row>
    <row r="250" spans="1:15" ht="25" customHeight="1">
      <c r="A250" s="50">
        <v>259</v>
      </c>
      <c r="B250" s="50" t="s">
        <v>18</v>
      </c>
      <c r="C250" s="50" t="s">
        <v>567</v>
      </c>
      <c r="D250" s="50"/>
      <c r="E250" s="50" t="s">
        <v>568</v>
      </c>
      <c r="F250" s="50">
        <v>2448</v>
      </c>
      <c r="G250" s="50">
        <v>1</v>
      </c>
      <c r="H250" s="50" t="s">
        <v>30</v>
      </c>
      <c r="I250" s="51" t="s">
        <v>226</v>
      </c>
      <c r="J250" s="17" t="s">
        <v>23</v>
      </c>
      <c r="K250" s="52"/>
      <c r="L250" s="52"/>
      <c r="N250">
        <f>SUM(F250/2000*G250)</f>
        <v>1.224</v>
      </c>
      <c r="O250" s="12" t="s">
        <v>133</v>
      </c>
    </row>
    <row r="251" spans="1:15" ht="25" customHeight="1">
      <c r="A251" s="50">
        <v>264</v>
      </c>
      <c r="B251" s="50" t="s">
        <v>18</v>
      </c>
      <c r="C251" s="50" t="s">
        <v>569</v>
      </c>
      <c r="D251" s="50"/>
      <c r="E251" s="50" t="s">
        <v>570</v>
      </c>
      <c r="F251" s="50">
        <v>2391</v>
      </c>
      <c r="G251" s="50">
        <v>1</v>
      </c>
      <c r="H251" s="50" t="s">
        <v>30</v>
      </c>
      <c r="I251" s="51" t="s">
        <v>226</v>
      </c>
      <c r="J251" s="17" t="s">
        <v>247</v>
      </c>
      <c r="K251" s="52"/>
      <c r="L251" s="52"/>
      <c r="N251">
        <f>SUM(F251/2000*G251)</f>
        <v>1.1955</v>
      </c>
      <c r="O251" s="12" t="s">
        <v>133</v>
      </c>
    </row>
    <row r="252" spans="1:15" ht="25" customHeight="1">
      <c r="A252" s="50">
        <v>265</v>
      </c>
      <c r="B252" s="50" t="s">
        <v>18</v>
      </c>
      <c r="C252" s="50" t="s">
        <v>571</v>
      </c>
      <c r="D252" s="50"/>
      <c r="E252" s="50" t="s">
        <v>572</v>
      </c>
      <c r="F252" s="50">
        <v>2383</v>
      </c>
      <c r="G252" s="50">
        <v>1</v>
      </c>
      <c r="H252" s="50" t="s">
        <v>81</v>
      </c>
      <c r="I252" s="51" t="s">
        <v>226</v>
      </c>
      <c r="J252" s="17" t="s">
        <v>573</v>
      </c>
      <c r="K252" s="52"/>
      <c r="L252" s="52"/>
      <c r="N252">
        <f>SUM(F252/2000*G252)</f>
        <v>1.1915</v>
      </c>
      <c r="O252" s="12" t="s">
        <v>133</v>
      </c>
    </row>
    <row r="253" spans="1:15" ht="25" customHeight="1">
      <c r="A253" s="50">
        <v>267</v>
      </c>
      <c r="B253" s="50" t="s">
        <v>18</v>
      </c>
      <c r="C253" s="50" t="s">
        <v>574</v>
      </c>
      <c r="D253" s="50"/>
      <c r="E253" s="50" t="s">
        <v>430</v>
      </c>
      <c r="F253" s="50">
        <v>2371</v>
      </c>
      <c r="G253" s="50">
        <v>1</v>
      </c>
      <c r="H253" s="50" t="s">
        <v>30</v>
      </c>
      <c r="I253" s="51" t="s">
        <v>226</v>
      </c>
      <c r="J253" s="17" t="s">
        <v>431</v>
      </c>
      <c r="K253" s="52"/>
      <c r="L253" s="52"/>
      <c r="N253">
        <f>SUM(F253/2000*G253)</f>
        <v>1.1855</v>
      </c>
      <c r="O253" s="12" t="s">
        <v>133</v>
      </c>
    </row>
    <row r="254" spans="1:15" ht="25" customHeight="1">
      <c r="A254" s="50">
        <v>274</v>
      </c>
      <c r="B254" s="50" t="s">
        <v>18</v>
      </c>
      <c r="C254" s="50" t="s">
        <v>575</v>
      </c>
      <c r="D254" s="50"/>
      <c r="E254" s="50" t="s">
        <v>576</v>
      </c>
      <c r="F254" s="50">
        <v>2284</v>
      </c>
      <c r="G254" s="50">
        <v>1</v>
      </c>
      <c r="H254" s="50" t="s">
        <v>21</v>
      </c>
      <c r="I254" s="51" t="s">
        <v>226</v>
      </c>
      <c r="J254" s="17" t="s">
        <v>577</v>
      </c>
      <c r="K254" s="52"/>
      <c r="L254" s="52"/>
      <c r="N254">
        <f>SUM(F254/2000*G254)</f>
        <v>1.1419999999999999</v>
      </c>
      <c r="O254" s="12" t="s">
        <v>133</v>
      </c>
    </row>
    <row r="255" spans="1:15" ht="25" customHeight="1">
      <c r="A255" s="50">
        <v>276</v>
      </c>
      <c r="B255" s="50" t="s">
        <v>18</v>
      </c>
      <c r="C255" s="50" t="s">
        <v>578</v>
      </c>
      <c r="D255" s="50"/>
      <c r="E255" s="50" t="s">
        <v>579</v>
      </c>
      <c r="F255" s="50">
        <v>2269</v>
      </c>
      <c r="G255" s="50">
        <v>1</v>
      </c>
      <c r="H255" s="50" t="s">
        <v>50</v>
      </c>
      <c r="I255" s="51" t="s">
        <v>226</v>
      </c>
      <c r="J255" s="17" t="s">
        <v>278</v>
      </c>
      <c r="K255" s="52"/>
      <c r="L255" s="52"/>
      <c r="N255">
        <f>SUM(F255/2000*G255)</f>
        <v>1.1345000000000001</v>
      </c>
      <c r="O255" s="12" t="s">
        <v>133</v>
      </c>
    </row>
    <row r="256" spans="1:15" ht="25" customHeight="1">
      <c r="A256" s="50">
        <v>278</v>
      </c>
      <c r="B256" s="50" t="s">
        <v>18</v>
      </c>
      <c r="C256" s="50" t="s">
        <v>580</v>
      </c>
      <c r="D256" s="50"/>
      <c r="E256" s="50" t="s">
        <v>581</v>
      </c>
      <c r="F256" s="50">
        <v>2263</v>
      </c>
      <c r="G256" s="50">
        <v>1</v>
      </c>
      <c r="H256" s="50" t="s">
        <v>30</v>
      </c>
      <c r="I256" s="51" t="s">
        <v>226</v>
      </c>
      <c r="J256" s="17" t="s">
        <v>451</v>
      </c>
      <c r="K256" s="52"/>
      <c r="L256" s="52"/>
      <c r="N256">
        <f>SUM(F256/2000*G256)</f>
        <v>1.1315</v>
      </c>
      <c r="O256" s="12" t="s">
        <v>133</v>
      </c>
    </row>
    <row r="257" spans="1:18" ht="25" customHeight="1">
      <c r="A257" s="50">
        <v>284</v>
      </c>
      <c r="B257" s="50" t="s">
        <v>18</v>
      </c>
      <c r="C257" s="50" t="s">
        <v>582</v>
      </c>
      <c r="D257" s="50"/>
      <c r="E257" s="50" t="s">
        <v>583</v>
      </c>
      <c r="F257" s="50">
        <v>2244</v>
      </c>
      <c r="G257" s="50">
        <v>1</v>
      </c>
      <c r="H257" s="50" t="s">
        <v>50</v>
      </c>
      <c r="I257" s="51" t="s">
        <v>226</v>
      </c>
      <c r="J257" s="17" t="s">
        <v>358</v>
      </c>
      <c r="K257" s="52"/>
      <c r="L257" s="52"/>
      <c r="N257">
        <f>SUM(F257/2000*G257)</f>
        <v>1.1220000000000001</v>
      </c>
      <c r="O257" s="12" t="s">
        <v>133</v>
      </c>
    </row>
    <row r="258" spans="1:18" ht="25" customHeight="1">
      <c r="A258" s="50">
        <v>285</v>
      </c>
      <c r="B258" s="50" t="s">
        <v>18</v>
      </c>
      <c r="C258" s="50" t="s">
        <v>584</v>
      </c>
      <c r="D258" s="50"/>
      <c r="E258" s="50" t="s">
        <v>581</v>
      </c>
      <c r="F258" s="50">
        <v>2224</v>
      </c>
      <c r="G258" s="50">
        <v>1</v>
      </c>
      <c r="H258" s="50" t="s">
        <v>21</v>
      </c>
      <c r="I258" s="51" t="s">
        <v>226</v>
      </c>
      <c r="J258" s="17" t="s">
        <v>451</v>
      </c>
      <c r="K258" s="52"/>
      <c r="L258" s="52"/>
      <c r="N258">
        <f>SUM(F258/2000*G258)</f>
        <v>1.1120000000000001</v>
      </c>
      <c r="O258" s="12" t="s">
        <v>133</v>
      </c>
    </row>
    <row r="259" spans="1:18" ht="25" customHeight="1">
      <c r="A259" s="50">
        <v>286</v>
      </c>
      <c r="B259" s="50" t="s">
        <v>18</v>
      </c>
      <c r="C259" s="50" t="s">
        <v>585</v>
      </c>
      <c r="D259" s="50"/>
      <c r="E259" s="50" t="s">
        <v>586</v>
      </c>
      <c r="F259" s="50">
        <v>2221</v>
      </c>
      <c r="G259" s="50">
        <v>1</v>
      </c>
      <c r="H259" s="50" t="s">
        <v>30</v>
      </c>
      <c r="I259" s="51" t="s">
        <v>226</v>
      </c>
      <c r="J259" s="17" t="s">
        <v>23</v>
      </c>
      <c r="K259" s="52"/>
      <c r="L259" s="52"/>
      <c r="N259">
        <f>SUM(F259/2000*G259)</f>
        <v>1.1105</v>
      </c>
      <c r="O259" s="12" t="s">
        <v>133</v>
      </c>
    </row>
    <row r="260" spans="1:18" ht="25" customHeight="1">
      <c r="A260" s="50">
        <v>291</v>
      </c>
      <c r="B260" s="50" t="s">
        <v>18</v>
      </c>
      <c r="C260" s="50" t="s">
        <v>587</v>
      </c>
      <c r="D260" s="50"/>
      <c r="E260" s="50" t="s">
        <v>588</v>
      </c>
      <c r="F260" s="50">
        <v>2167</v>
      </c>
      <c r="G260" s="50">
        <v>1</v>
      </c>
      <c r="H260" s="50" t="s">
        <v>50</v>
      </c>
      <c r="I260" s="51" t="s">
        <v>226</v>
      </c>
      <c r="J260" s="17" t="s">
        <v>422</v>
      </c>
      <c r="K260" s="52"/>
      <c r="L260" s="52"/>
      <c r="N260">
        <f>SUM(F260/2000*G260)</f>
        <v>1.0834999999999999</v>
      </c>
      <c r="O260" s="12" t="s">
        <v>133</v>
      </c>
    </row>
    <row r="261" spans="1:18" ht="25" customHeight="1">
      <c r="A261" s="50">
        <v>296</v>
      </c>
      <c r="B261" s="50" t="s">
        <v>18</v>
      </c>
      <c r="C261" s="50" t="s">
        <v>589</v>
      </c>
      <c r="D261" s="50"/>
      <c r="E261" s="50" t="s">
        <v>590</v>
      </c>
      <c r="F261" s="50">
        <v>2139</v>
      </c>
      <c r="G261" s="50">
        <v>1</v>
      </c>
      <c r="H261" s="50" t="s">
        <v>50</v>
      </c>
      <c r="I261" s="51" t="s">
        <v>226</v>
      </c>
      <c r="J261" s="17" t="s">
        <v>23</v>
      </c>
      <c r="K261" s="52"/>
      <c r="L261" s="52"/>
      <c r="N261">
        <f>SUM(F261/2000*G261)</f>
        <v>1.0694999999999999</v>
      </c>
      <c r="O261" s="12" t="s">
        <v>133</v>
      </c>
    </row>
    <row r="262" spans="1:18" ht="25" customHeight="1">
      <c r="A262" s="50">
        <v>299</v>
      </c>
      <c r="B262" s="50" t="s">
        <v>18</v>
      </c>
      <c r="C262" s="50" t="s">
        <v>591</v>
      </c>
      <c r="D262" s="50"/>
      <c r="E262" s="50" t="s">
        <v>592</v>
      </c>
      <c r="F262" s="50">
        <v>2131</v>
      </c>
      <c r="G262" s="50">
        <v>1</v>
      </c>
      <c r="H262" s="50" t="s">
        <v>50</v>
      </c>
      <c r="I262" s="51" t="s">
        <v>226</v>
      </c>
      <c r="J262" s="17" t="s">
        <v>23</v>
      </c>
      <c r="K262" s="52"/>
      <c r="L262" s="52"/>
      <c r="N262">
        <f>SUM(F262/2000*G262)</f>
        <v>1.0654999999999999</v>
      </c>
      <c r="O262" s="12" t="s">
        <v>133</v>
      </c>
    </row>
    <row r="263" spans="1:18" ht="25" customHeight="1">
      <c r="A263" s="50">
        <v>302</v>
      </c>
      <c r="B263" s="50" t="s">
        <v>18</v>
      </c>
      <c r="C263" s="50" t="s">
        <v>593</v>
      </c>
      <c r="D263" s="50"/>
      <c r="E263" s="50" t="s">
        <v>539</v>
      </c>
      <c r="F263" s="50">
        <v>2099</v>
      </c>
      <c r="G263" s="50">
        <v>1</v>
      </c>
      <c r="H263" s="50" t="s">
        <v>50</v>
      </c>
      <c r="I263" s="51" t="s">
        <v>226</v>
      </c>
      <c r="J263" s="17" t="s">
        <v>23</v>
      </c>
      <c r="K263" s="52"/>
      <c r="L263" s="52"/>
      <c r="N263">
        <f>SUM(F263/2000*G263)</f>
        <v>1.0495000000000001</v>
      </c>
      <c r="O263" s="12" t="s">
        <v>133</v>
      </c>
    </row>
    <row r="264" spans="1:18" ht="25" customHeight="1">
      <c r="A264" s="50">
        <v>304</v>
      </c>
      <c r="B264" s="50" t="s">
        <v>18</v>
      </c>
      <c r="C264" s="50" t="s">
        <v>594</v>
      </c>
      <c r="D264" s="50"/>
      <c r="E264" s="50" t="s">
        <v>595</v>
      </c>
      <c r="F264" s="50">
        <v>2093</v>
      </c>
      <c r="G264" s="50">
        <v>1</v>
      </c>
      <c r="H264" s="50" t="s">
        <v>21</v>
      </c>
      <c r="I264" s="51" t="s">
        <v>226</v>
      </c>
      <c r="J264" s="17" t="s">
        <v>230</v>
      </c>
      <c r="K264" s="52"/>
      <c r="L264" s="52"/>
      <c r="N264">
        <f>SUM(F264/2000*G264)</f>
        <v>1.0465</v>
      </c>
      <c r="O264" s="12" t="s">
        <v>133</v>
      </c>
    </row>
    <row r="265" spans="1:18" ht="25" customHeight="1">
      <c r="A265" s="50">
        <v>305</v>
      </c>
      <c r="B265" s="50" t="s">
        <v>18</v>
      </c>
      <c r="C265" s="50" t="s">
        <v>596</v>
      </c>
      <c r="D265" s="50"/>
      <c r="E265" s="50" t="s">
        <v>566</v>
      </c>
      <c r="F265" s="50">
        <v>2057</v>
      </c>
      <c r="G265" s="50">
        <v>1</v>
      </c>
      <c r="H265" s="50" t="s">
        <v>50</v>
      </c>
      <c r="I265" s="51" t="s">
        <v>226</v>
      </c>
      <c r="J265" s="17" t="s">
        <v>443</v>
      </c>
      <c r="K265" s="52"/>
      <c r="L265" s="52"/>
      <c r="N265">
        <f>SUM(F265/2000*G265)</f>
        <v>1.0285</v>
      </c>
      <c r="O265" s="12" t="s">
        <v>133</v>
      </c>
    </row>
    <row r="266" spans="1:18" ht="25" customHeight="1">
      <c r="A266" s="50">
        <v>306</v>
      </c>
      <c r="B266" s="50" t="s">
        <v>18</v>
      </c>
      <c r="C266" s="50" t="s">
        <v>597</v>
      </c>
      <c r="D266" s="50"/>
      <c r="E266" s="50" t="s">
        <v>547</v>
      </c>
      <c r="F266" s="50">
        <v>2046</v>
      </c>
      <c r="G266" s="50">
        <v>1</v>
      </c>
      <c r="H266" s="50" t="s">
        <v>50</v>
      </c>
      <c r="I266" s="51" t="s">
        <v>226</v>
      </c>
      <c r="J266" s="17" t="s">
        <v>391</v>
      </c>
      <c r="K266" s="52"/>
      <c r="L266" s="52"/>
      <c r="N266">
        <f>SUM(F266/2000*G266)</f>
        <v>1.0229999999999999</v>
      </c>
      <c r="O266" s="12" t="s">
        <v>133</v>
      </c>
    </row>
    <row r="267" spans="1:18" ht="25" customHeight="1">
      <c r="A267" s="50">
        <v>308</v>
      </c>
      <c r="B267" s="50" t="s">
        <v>18</v>
      </c>
      <c r="C267" s="50" t="s">
        <v>598</v>
      </c>
      <c r="D267" s="50"/>
      <c r="E267" s="50" t="s">
        <v>599</v>
      </c>
      <c r="F267" s="50">
        <v>2023</v>
      </c>
      <c r="G267" s="50">
        <v>1</v>
      </c>
      <c r="H267" s="50" t="s">
        <v>30</v>
      </c>
      <c r="I267" s="51" t="s">
        <v>226</v>
      </c>
      <c r="J267" s="17" t="s">
        <v>23</v>
      </c>
      <c r="K267" s="52"/>
      <c r="L267" s="52"/>
      <c r="N267">
        <f>SUM(F267/2000*G267)</f>
        <v>1.0115000000000001</v>
      </c>
      <c r="O267" s="12" t="s">
        <v>133</v>
      </c>
    </row>
    <row r="268" spans="1:18" ht="25" customHeight="1">
      <c r="A268" s="50">
        <v>309</v>
      </c>
      <c r="B268" s="50" t="s">
        <v>18</v>
      </c>
      <c r="C268" s="50" t="s">
        <v>600</v>
      </c>
      <c r="D268" s="50"/>
      <c r="E268" s="50" t="s">
        <v>601</v>
      </c>
      <c r="F268" s="50">
        <v>2019</v>
      </c>
      <c r="G268" s="50">
        <v>1</v>
      </c>
      <c r="H268" s="50" t="s">
        <v>50</v>
      </c>
      <c r="I268" s="51" t="s">
        <v>226</v>
      </c>
      <c r="J268" s="17" t="s">
        <v>23</v>
      </c>
      <c r="K268" s="52"/>
      <c r="L268" s="52"/>
      <c r="N268">
        <f>SUM(F268/2000*G268)</f>
        <v>1.0095000000000001</v>
      </c>
      <c r="O268" s="12" t="s">
        <v>133</v>
      </c>
    </row>
    <row r="269" spans="1:18" ht="25" customHeight="1">
      <c r="A269" s="50">
        <v>311</v>
      </c>
      <c r="B269" s="50" t="s">
        <v>18</v>
      </c>
      <c r="C269" s="50" t="s">
        <v>602</v>
      </c>
      <c r="D269" s="50"/>
      <c r="E269" s="50" t="s">
        <v>603</v>
      </c>
      <c r="F269" s="50">
        <v>2013</v>
      </c>
      <c r="G269" s="50">
        <v>1</v>
      </c>
      <c r="H269" s="50" t="s">
        <v>50</v>
      </c>
      <c r="I269" s="51" t="s">
        <v>226</v>
      </c>
      <c r="J269" s="17" t="s">
        <v>23</v>
      </c>
      <c r="K269" s="52"/>
      <c r="L269" s="52"/>
      <c r="N269">
        <f>SUM(F269/2000*G269)</f>
        <v>1.0065</v>
      </c>
      <c r="O269" s="12" t="s">
        <v>133</v>
      </c>
    </row>
    <row r="270" spans="1:18" ht="25" customHeight="1">
      <c r="A270" s="53" t="s">
        <v>0</v>
      </c>
      <c r="B270" s="53" t="s">
        <v>1</v>
      </c>
      <c r="C270" s="53" t="s">
        <v>2</v>
      </c>
      <c r="D270" s="54" t="s">
        <v>3</v>
      </c>
      <c r="E270" s="53" t="s">
        <v>4</v>
      </c>
      <c r="F270" s="53" t="s">
        <v>5</v>
      </c>
      <c r="G270" s="53" t="s">
        <v>6</v>
      </c>
      <c r="H270" s="53" t="s">
        <v>7</v>
      </c>
      <c r="I270" s="54" t="s">
        <v>8</v>
      </c>
      <c r="J270" s="55" t="s">
        <v>9</v>
      </c>
      <c r="K270" s="56" t="s">
        <v>10</v>
      </c>
      <c r="L270" s="56" t="s">
        <v>11</v>
      </c>
      <c r="M270" s="1" t="s">
        <v>12</v>
      </c>
      <c r="N270" s="5" t="s">
        <v>13</v>
      </c>
      <c r="O270" s="5" t="s">
        <v>14</v>
      </c>
      <c r="P270" s="6" t="s">
        <v>15</v>
      </c>
      <c r="Q270" s="6" t="s">
        <v>16</v>
      </c>
      <c r="R270" s="6" t="s">
        <v>17</v>
      </c>
    </row>
    <row r="271" spans="1:18" ht="25" customHeight="1">
      <c r="A271" s="39">
        <v>7</v>
      </c>
      <c r="B271" s="39" t="s">
        <v>18</v>
      </c>
      <c r="C271" s="39" t="s">
        <v>604</v>
      </c>
      <c r="D271" s="40" t="s">
        <v>605</v>
      </c>
      <c r="E271" s="39" t="s">
        <v>606</v>
      </c>
      <c r="F271" s="39">
        <v>37201</v>
      </c>
      <c r="G271" s="39">
        <v>15</v>
      </c>
      <c r="H271" s="39" t="s">
        <v>21</v>
      </c>
      <c r="I271" s="40" t="s">
        <v>22</v>
      </c>
      <c r="J271" s="41"/>
      <c r="K271" s="57"/>
      <c r="L271" s="57" t="s">
        <v>607</v>
      </c>
      <c r="M271" s="11"/>
      <c r="N271">
        <f t="shared" ref="N271:N291" si="2">SUM(F271/2000*G271)</f>
        <v>279.00749999999999</v>
      </c>
      <c r="O271" s="12" t="s">
        <v>27</v>
      </c>
      <c r="P271" s="16">
        <v>46212</v>
      </c>
    </row>
    <row r="272" spans="1:18" ht="25" customHeight="1">
      <c r="A272" s="39">
        <v>6</v>
      </c>
      <c r="B272" s="39" t="s">
        <v>18</v>
      </c>
      <c r="C272" s="39" t="s">
        <v>608</v>
      </c>
      <c r="D272" s="40" t="s">
        <v>609</v>
      </c>
      <c r="E272" s="39" t="s">
        <v>610</v>
      </c>
      <c r="F272" s="39">
        <v>54552</v>
      </c>
      <c r="G272" s="39">
        <v>7</v>
      </c>
      <c r="H272" s="39" t="s">
        <v>50</v>
      </c>
      <c r="I272" s="40" t="s">
        <v>22</v>
      </c>
      <c r="J272" s="41"/>
      <c r="K272" s="57"/>
      <c r="L272" s="57" t="s">
        <v>611</v>
      </c>
      <c r="M272" s="11"/>
      <c r="N272">
        <f t="shared" si="2"/>
        <v>190.93199999999999</v>
      </c>
      <c r="O272" s="12" t="s">
        <v>27</v>
      </c>
      <c r="P272" s="16"/>
    </row>
    <row r="273" spans="1:18" ht="25" customHeight="1">
      <c r="A273" s="39">
        <v>19</v>
      </c>
      <c r="B273" s="39" t="s">
        <v>18</v>
      </c>
      <c r="C273" s="39" t="s">
        <v>612</v>
      </c>
      <c r="D273" s="40" t="s">
        <v>613</v>
      </c>
      <c r="E273" s="39" t="s">
        <v>614</v>
      </c>
      <c r="F273" s="39">
        <v>136982</v>
      </c>
      <c r="G273" s="39">
        <v>2</v>
      </c>
      <c r="H273" s="39" t="s">
        <v>30</v>
      </c>
      <c r="I273" s="40" t="s">
        <v>22</v>
      </c>
      <c r="J273" s="41"/>
      <c r="K273" s="57"/>
      <c r="L273" s="57" t="s">
        <v>615</v>
      </c>
      <c r="M273" s="11"/>
      <c r="N273">
        <f t="shared" si="2"/>
        <v>136.982</v>
      </c>
      <c r="O273" s="12" t="s">
        <v>27</v>
      </c>
    </row>
    <row r="274" spans="1:18" ht="25" customHeight="1">
      <c r="A274" s="39">
        <v>4</v>
      </c>
      <c r="B274" s="39" t="s">
        <v>18</v>
      </c>
      <c r="C274" s="39" t="s">
        <v>616</v>
      </c>
      <c r="D274" s="40" t="s">
        <v>617</v>
      </c>
      <c r="E274" s="39" t="s">
        <v>618</v>
      </c>
      <c r="F274" s="39">
        <v>6779</v>
      </c>
      <c r="G274" s="39">
        <v>40</v>
      </c>
      <c r="H274" s="39" t="s">
        <v>30</v>
      </c>
      <c r="I274" s="40" t="s">
        <v>22</v>
      </c>
      <c r="J274" s="41"/>
      <c r="K274" s="57"/>
      <c r="L274" s="57" t="s">
        <v>619</v>
      </c>
      <c r="M274" s="11"/>
      <c r="N274">
        <f t="shared" si="2"/>
        <v>135.58000000000001</v>
      </c>
      <c r="O274" s="12" t="s">
        <v>27</v>
      </c>
    </row>
    <row r="275" spans="1:18" ht="25" customHeight="1">
      <c r="A275" s="39">
        <v>15</v>
      </c>
      <c r="B275" s="39" t="s">
        <v>18</v>
      </c>
      <c r="C275" s="39" t="s">
        <v>620</v>
      </c>
      <c r="D275" s="40" t="s">
        <v>621</v>
      </c>
      <c r="E275" s="39" t="s">
        <v>622</v>
      </c>
      <c r="F275" s="39">
        <v>24575</v>
      </c>
      <c r="G275" s="39">
        <v>11</v>
      </c>
      <c r="H275" s="39" t="s">
        <v>30</v>
      </c>
      <c r="I275" s="40" t="s">
        <v>22</v>
      </c>
      <c r="J275" s="41"/>
      <c r="K275" s="57"/>
      <c r="L275" s="57" t="s">
        <v>623</v>
      </c>
      <c r="M275" s="11"/>
      <c r="N275">
        <f t="shared" si="2"/>
        <v>135.16249999999999</v>
      </c>
      <c r="O275" s="12" t="s">
        <v>27</v>
      </c>
    </row>
    <row r="276" spans="1:18" ht="25" customHeight="1">
      <c r="A276" s="39">
        <v>12</v>
      </c>
      <c r="B276" s="39" t="s">
        <v>18</v>
      </c>
      <c r="C276" s="39" t="s">
        <v>624</v>
      </c>
      <c r="D276" s="40"/>
      <c r="E276" s="39" t="s">
        <v>625</v>
      </c>
      <c r="F276" s="39">
        <v>28160</v>
      </c>
      <c r="G276" s="39">
        <v>9</v>
      </c>
      <c r="H276" s="39" t="s">
        <v>21</v>
      </c>
      <c r="I276" s="40" t="s">
        <v>22</v>
      </c>
      <c r="J276" s="41"/>
      <c r="K276" s="57"/>
      <c r="L276" s="57" t="s">
        <v>626</v>
      </c>
      <c r="M276" s="11"/>
      <c r="N276">
        <f t="shared" si="2"/>
        <v>126.72</v>
      </c>
      <c r="O276" s="12" t="s">
        <v>27</v>
      </c>
      <c r="P276" s="16">
        <v>46212</v>
      </c>
    </row>
    <row r="277" spans="1:18" ht="25" customHeight="1">
      <c r="A277" s="39">
        <v>2</v>
      </c>
      <c r="B277" s="39" t="s">
        <v>18</v>
      </c>
      <c r="C277" s="39" t="s">
        <v>627</v>
      </c>
      <c r="D277" s="40" t="s">
        <v>628</v>
      </c>
      <c r="E277" s="39" t="s">
        <v>629</v>
      </c>
      <c r="F277" s="39">
        <v>7524</v>
      </c>
      <c r="G277" s="39">
        <v>23</v>
      </c>
      <c r="H277" s="39" t="s">
        <v>50</v>
      </c>
      <c r="I277" s="40" t="s">
        <v>22</v>
      </c>
      <c r="J277" s="41"/>
      <c r="K277" s="57" t="s">
        <v>630</v>
      </c>
      <c r="L277" s="57" t="s">
        <v>631</v>
      </c>
      <c r="M277" s="11"/>
      <c r="N277">
        <f t="shared" si="2"/>
        <v>86.525999999999996</v>
      </c>
      <c r="O277" s="12" t="s">
        <v>59</v>
      </c>
      <c r="P277" s="16">
        <v>46212</v>
      </c>
    </row>
    <row r="278" spans="1:18" ht="25" customHeight="1">
      <c r="A278" s="39">
        <v>1</v>
      </c>
      <c r="B278" s="39" t="s">
        <v>18</v>
      </c>
      <c r="C278" s="39" t="s">
        <v>632</v>
      </c>
      <c r="D278" s="40" t="s">
        <v>633</v>
      </c>
      <c r="E278" s="39" t="s">
        <v>634</v>
      </c>
      <c r="F278" s="39">
        <v>8810</v>
      </c>
      <c r="G278" s="39">
        <v>17</v>
      </c>
      <c r="H278" s="39" t="s">
        <v>30</v>
      </c>
      <c r="I278" s="40" t="s">
        <v>22</v>
      </c>
      <c r="J278" s="41"/>
      <c r="K278" s="57" t="s">
        <v>630</v>
      </c>
      <c r="L278" s="57" t="s">
        <v>635</v>
      </c>
      <c r="M278" s="11"/>
      <c r="N278">
        <f t="shared" si="2"/>
        <v>74.885000000000005</v>
      </c>
      <c r="O278" s="12" t="s">
        <v>59</v>
      </c>
      <c r="R278" s="12" t="s">
        <v>34</v>
      </c>
    </row>
    <row r="279" spans="1:18" ht="25" customHeight="1">
      <c r="A279" s="39">
        <v>11</v>
      </c>
      <c r="B279" s="39" t="s">
        <v>18</v>
      </c>
      <c r="C279" s="39" t="s">
        <v>636</v>
      </c>
      <c r="D279" s="40" t="s">
        <v>637</v>
      </c>
      <c r="E279" s="39" t="s">
        <v>638</v>
      </c>
      <c r="F279" s="39">
        <v>28434</v>
      </c>
      <c r="G279" s="39">
        <v>3</v>
      </c>
      <c r="H279" s="39" t="s">
        <v>21</v>
      </c>
      <c r="I279" s="40" t="s">
        <v>22</v>
      </c>
      <c r="J279" s="41"/>
      <c r="K279" s="57"/>
      <c r="L279" s="57" t="s">
        <v>639</v>
      </c>
      <c r="M279" s="11"/>
      <c r="N279">
        <f t="shared" si="2"/>
        <v>42.651000000000003</v>
      </c>
      <c r="O279" s="12" t="s">
        <v>59</v>
      </c>
    </row>
    <row r="280" spans="1:18" ht="25" customHeight="1">
      <c r="A280" s="39">
        <v>5</v>
      </c>
      <c r="B280" s="39" t="s">
        <v>18</v>
      </c>
      <c r="C280" s="39" t="s">
        <v>640</v>
      </c>
      <c r="D280" s="40" t="s">
        <v>641</v>
      </c>
      <c r="E280" s="39" t="s">
        <v>642</v>
      </c>
      <c r="F280" s="39">
        <v>5521</v>
      </c>
      <c r="G280" s="39">
        <v>14</v>
      </c>
      <c r="H280" s="39" t="s">
        <v>30</v>
      </c>
      <c r="I280" s="40" t="s">
        <v>22</v>
      </c>
      <c r="J280" s="41"/>
      <c r="K280" s="57" t="s">
        <v>630</v>
      </c>
      <c r="L280" s="57" t="s">
        <v>631</v>
      </c>
      <c r="M280" s="11"/>
      <c r="N280">
        <f t="shared" si="2"/>
        <v>38.646999999999998</v>
      </c>
      <c r="O280" s="12" t="s">
        <v>59</v>
      </c>
      <c r="P280" s="16">
        <v>46212</v>
      </c>
    </row>
    <row r="281" spans="1:18" ht="25" customHeight="1">
      <c r="A281" s="39">
        <v>13</v>
      </c>
      <c r="B281" s="39" t="s">
        <v>18</v>
      </c>
      <c r="C281" s="39" t="s">
        <v>643</v>
      </c>
      <c r="D281" s="40" t="s">
        <v>644</v>
      </c>
      <c r="E281" s="39" t="s">
        <v>645</v>
      </c>
      <c r="F281" s="39">
        <v>2731</v>
      </c>
      <c r="G281" s="39">
        <v>12</v>
      </c>
      <c r="H281" s="39" t="s">
        <v>21</v>
      </c>
      <c r="I281" s="40" t="s">
        <v>22</v>
      </c>
      <c r="J281" s="41"/>
      <c r="K281" s="57"/>
      <c r="L281" s="57" t="s">
        <v>646</v>
      </c>
      <c r="M281" s="11"/>
      <c r="N281">
        <f t="shared" si="2"/>
        <v>16.385999999999999</v>
      </c>
      <c r="O281" s="12" t="s">
        <v>59</v>
      </c>
    </row>
    <row r="282" spans="1:18" ht="25" customHeight="1">
      <c r="A282" s="39">
        <v>8</v>
      </c>
      <c r="B282" s="39" t="s">
        <v>18</v>
      </c>
      <c r="C282" s="39" t="s">
        <v>647</v>
      </c>
      <c r="D282" s="40" t="s">
        <v>648</v>
      </c>
      <c r="E282" s="39" t="s">
        <v>649</v>
      </c>
      <c r="F282" s="39">
        <v>30745</v>
      </c>
      <c r="G282" s="39">
        <v>1</v>
      </c>
      <c r="H282" s="39" t="s">
        <v>50</v>
      </c>
      <c r="I282" s="40" t="s">
        <v>22</v>
      </c>
      <c r="J282" s="41"/>
      <c r="K282" s="57"/>
      <c r="L282" s="57" t="s">
        <v>650</v>
      </c>
      <c r="M282" s="11"/>
      <c r="N282">
        <f t="shared" si="2"/>
        <v>15.3725</v>
      </c>
      <c r="O282" s="12" t="s">
        <v>59</v>
      </c>
    </row>
    <row r="283" spans="1:18" ht="25" customHeight="1">
      <c r="A283" s="39">
        <v>10</v>
      </c>
      <c r="B283" s="39" t="s">
        <v>18</v>
      </c>
      <c r="C283" s="39" t="s">
        <v>651</v>
      </c>
      <c r="D283" s="40" t="s">
        <v>652</v>
      </c>
      <c r="E283" s="39" t="s">
        <v>653</v>
      </c>
      <c r="F283" s="39">
        <v>30100</v>
      </c>
      <c r="G283" s="39">
        <v>1</v>
      </c>
      <c r="H283" s="39" t="s">
        <v>21</v>
      </c>
      <c r="I283" s="40" t="s">
        <v>22</v>
      </c>
      <c r="J283" s="41"/>
      <c r="K283" s="57"/>
      <c r="L283" s="57" t="s">
        <v>654</v>
      </c>
      <c r="M283" s="11"/>
      <c r="N283">
        <f t="shared" si="2"/>
        <v>15.05</v>
      </c>
      <c r="O283" s="12" t="s">
        <v>59</v>
      </c>
      <c r="P283" s="16">
        <v>46212</v>
      </c>
    </row>
    <row r="284" spans="1:18" ht="25" customHeight="1">
      <c r="A284" s="39">
        <v>14</v>
      </c>
      <c r="B284" s="39" t="s">
        <v>18</v>
      </c>
      <c r="C284" s="39" t="s">
        <v>655</v>
      </c>
      <c r="D284" s="40" t="s">
        <v>656</v>
      </c>
      <c r="E284" s="39" t="s">
        <v>657</v>
      </c>
      <c r="F284" s="39">
        <v>25436</v>
      </c>
      <c r="G284" s="39">
        <v>1</v>
      </c>
      <c r="H284" s="39" t="s">
        <v>50</v>
      </c>
      <c r="I284" s="40" t="s">
        <v>22</v>
      </c>
      <c r="J284" s="41"/>
      <c r="K284" s="57"/>
      <c r="L284" s="57" t="s">
        <v>658</v>
      </c>
      <c r="M284" s="11"/>
      <c r="N284">
        <f t="shared" si="2"/>
        <v>12.718</v>
      </c>
      <c r="O284" s="12" t="s">
        <v>59</v>
      </c>
    </row>
    <row r="285" spans="1:18" ht="25" customHeight="1">
      <c r="A285" s="39">
        <v>16</v>
      </c>
      <c r="B285" s="39" t="s">
        <v>18</v>
      </c>
      <c r="C285" s="39" t="s">
        <v>659</v>
      </c>
      <c r="D285" s="40" t="s">
        <v>660</v>
      </c>
      <c r="E285" s="39" t="s">
        <v>661</v>
      </c>
      <c r="F285" s="39">
        <v>22405</v>
      </c>
      <c r="G285" s="39">
        <v>1</v>
      </c>
      <c r="H285" s="39" t="s">
        <v>50</v>
      </c>
      <c r="I285" s="40" t="s">
        <v>22</v>
      </c>
      <c r="J285" s="41"/>
      <c r="K285" s="57"/>
      <c r="L285" s="57" t="s">
        <v>662</v>
      </c>
      <c r="M285" s="11"/>
      <c r="N285">
        <f t="shared" si="2"/>
        <v>11.202500000000001</v>
      </c>
      <c r="O285" s="12" t="s">
        <v>59</v>
      </c>
    </row>
    <row r="286" spans="1:18" ht="25" customHeight="1">
      <c r="A286" s="39">
        <v>20</v>
      </c>
      <c r="B286" s="39" t="s">
        <v>18</v>
      </c>
      <c r="C286" s="39" t="s">
        <v>663</v>
      </c>
      <c r="D286" s="40" t="s">
        <v>664</v>
      </c>
      <c r="E286" s="39" t="s">
        <v>665</v>
      </c>
      <c r="F286" s="39">
        <v>3273</v>
      </c>
      <c r="G286" s="39">
        <v>4</v>
      </c>
      <c r="H286" s="39" t="s">
        <v>21</v>
      </c>
      <c r="I286" s="40" t="s">
        <v>22</v>
      </c>
      <c r="J286" s="58"/>
      <c r="K286" s="59"/>
      <c r="L286" s="59" t="s">
        <v>666</v>
      </c>
      <c r="M286" s="11"/>
      <c r="N286">
        <f t="shared" si="2"/>
        <v>6.5460000000000003</v>
      </c>
      <c r="O286" s="12" t="s">
        <v>133</v>
      </c>
    </row>
    <row r="287" spans="1:18" ht="25" customHeight="1">
      <c r="A287" s="39">
        <v>17</v>
      </c>
      <c r="B287" s="39" t="s">
        <v>18</v>
      </c>
      <c r="C287" s="39" t="s">
        <v>667</v>
      </c>
      <c r="D287" s="40" t="s">
        <v>668</v>
      </c>
      <c r="E287" s="39" t="s">
        <v>669</v>
      </c>
      <c r="F287" s="39">
        <v>2215</v>
      </c>
      <c r="G287" s="39">
        <v>5</v>
      </c>
      <c r="H287" s="39" t="s">
        <v>339</v>
      </c>
      <c r="I287" s="40" t="s">
        <v>22</v>
      </c>
      <c r="J287" s="41"/>
      <c r="K287" s="57"/>
      <c r="L287" s="57" t="s">
        <v>670</v>
      </c>
      <c r="M287" s="11"/>
      <c r="N287">
        <f t="shared" si="2"/>
        <v>5.5374999999999996</v>
      </c>
      <c r="O287" s="12" t="s">
        <v>133</v>
      </c>
    </row>
    <row r="288" spans="1:18" ht="25" customHeight="1">
      <c r="A288" s="39">
        <v>3</v>
      </c>
      <c r="B288" s="39" t="s">
        <v>18</v>
      </c>
      <c r="C288" s="39" t="s">
        <v>671</v>
      </c>
      <c r="D288" s="40" t="s">
        <v>672</v>
      </c>
      <c r="E288" s="39" t="s">
        <v>673</v>
      </c>
      <c r="F288" s="39">
        <v>7055</v>
      </c>
      <c r="G288" s="39">
        <v>1</v>
      </c>
      <c r="H288" s="39" t="s">
        <v>50</v>
      </c>
      <c r="I288" s="40" t="s">
        <v>22</v>
      </c>
      <c r="J288" s="41"/>
      <c r="K288" s="57" t="s">
        <v>630</v>
      </c>
      <c r="L288" s="57" t="s">
        <v>631</v>
      </c>
      <c r="M288" s="11"/>
      <c r="N288">
        <f t="shared" si="2"/>
        <v>3.5274999999999999</v>
      </c>
      <c r="O288" s="12" t="s">
        <v>133</v>
      </c>
      <c r="P288" s="16">
        <v>46212</v>
      </c>
    </row>
    <row r="289" spans="1:15" ht="25" customHeight="1">
      <c r="A289" s="39">
        <v>21</v>
      </c>
      <c r="B289" s="39" t="s">
        <v>18</v>
      </c>
      <c r="C289" s="39" t="s">
        <v>674</v>
      </c>
      <c r="D289" s="40" t="s">
        <v>675</v>
      </c>
      <c r="E289" s="39" t="s">
        <v>676</v>
      </c>
      <c r="F289" s="39">
        <v>2636</v>
      </c>
      <c r="G289" s="39">
        <v>2</v>
      </c>
      <c r="H289" s="39" t="s">
        <v>30</v>
      </c>
      <c r="I289" s="40" t="s">
        <v>22</v>
      </c>
      <c r="J289" s="58"/>
      <c r="K289" s="59"/>
      <c r="L289" s="59" t="s">
        <v>677</v>
      </c>
      <c r="M289" s="11"/>
      <c r="N289">
        <f t="shared" si="2"/>
        <v>2.6360000000000001</v>
      </c>
      <c r="O289" s="12" t="s">
        <v>133</v>
      </c>
    </row>
    <row r="290" spans="1:15" ht="25" customHeight="1">
      <c r="A290" s="39">
        <v>9</v>
      </c>
      <c r="B290" s="39" t="s">
        <v>18</v>
      </c>
      <c r="C290" s="39" t="s">
        <v>678</v>
      </c>
      <c r="D290" s="40" t="s">
        <v>679</v>
      </c>
      <c r="E290" s="39" t="s">
        <v>680</v>
      </c>
      <c r="F290" s="39">
        <v>3022</v>
      </c>
      <c r="G290" s="39">
        <v>1</v>
      </c>
      <c r="H290" s="39" t="s">
        <v>50</v>
      </c>
      <c r="I290" s="40" t="s">
        <v>22</v>
      </c>
      <c r="J290" s="41"/>
      <c r="K290" s="57"/>
      <c r="L290" s="57" t="s">
        <v>681</v>
      </c>
      <c r="M290" s="11"/>
      <c r="N290">
        <f t="shared" si="2"/>
        <v>1.5109999999999999</v>
      </c>
      <c r="O290" s="12" t="s">
        <v>133</v>
      </c>
    </row>
    <row r="291" spans="1:15" ht="25" customHeight="1">
      <c r="A291" s="39">
        <v>18</v>
      </c>
      <c r="B291" s="39" t="s">
        <v>18</v>
      </c>
      <c r="C291" s="39" t="s">
        <v>682</v>
      </c>
      <c r="D291" s="40" t="s">
        <v>683</v>
      </c>
      <c r="E291" s="39" t="s">
        <v>684</v>
      </c>
      <c r="F291" s="39">
        <v>2014</v>
      </c>
      <c r="G291" s="39">
        <v>1</v>
      </c>
      <c r="H291" s="39" t="s">
        <v>50</v>
      </c>
      <c r="I291" s="40" t="s">
        <v>22</v>
      </c>
      <c r="J291" s="41"/>
      <c r="K291" s="57"/>
      <c r="L291" s="57" t="s">
        <v>685</v>
      </c>
      <c r="M291" s="11"/>
      <c r="N291">
        <f t="shared" si="2"/>
        <v>1.0069999999999999</v>
      </c>
      <c r="O291" s="12" t="s">
        <v>133</v>
      </c>
    </row>
  </sheetData>
  <phoneticPr fontId="18" type="noConversion"/>
  <pageMargins left="0.75" right="0.75" top="1" bottom="1" header="0.5" footer="0.5"/>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陶其萍</dc:creator>
  <cp:lastModifiedBy>Zheyu Guo</cp:lastModifiedBy>
  <dcterms:created xsi:type="dcterms:W3CDTF">2026-07-02T09:59:00Z</dcterms:created>
  <dcterms:modified xsi:type="dcterms:W3CDTF">2026-07-07T06:00:20Z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71C817C972D644E5B37DD4EDA90C6711_12</vt:lpwstr>
  </property>
  <property fmtid="{D5CDD505-2E9C-101B-9397-08002B2CF9AE}" pid="4" name="CalculationRule">
    <vt:i4>0</vt:i4>
  </property>
</Properties>
</file>